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8" activeTab="7"/>
  </bookViews>
  <sheets>
    <sheet name="参数字典" sheetId="1" r:id="rId1"/>
    <sheet name="达人线索与合作" sheetId="2" r:id="rId2"/>
    <sheet name="寄样履约" sheetId="3" r:id="rId3"/>
    <sheet name="视频与订单复盘" sheetId="4" r:id="rId4"/>
    <sheet name="报价测算" sheetId="5" r:id="rId5"/>
    <sheet name="每周漏斗" sheetId="6" r:id="rId6"/>
    <sheet name="示例-请勿当真实数据" sheetId="7" r:id="rId7"/>
    <sheet name="使用说明" sheetId="8" r:id="rId8"/>
  </sheets>
  <definedNames>
    <definedName name="_xlnm._FilterDatabase" localSheetId="0" hidden="1">参数字典!$A$1:$K$301</definedName>
    <definedName name="_xlnm._FilterDatabase" localSheetId="2" hidden="1">寄样履约!$A$1:$Z$301</definedName>
    <definedName name="_xlnm._FilterDatabase" localSheetId="4" hidden="1">报价测算!$A$1:$AB$301</definedName>
    <definedName name="_xlnm._FilterDatabase" localSheetId="5" hidden="1">每周漏斗!$A$1:$P$301</definedName>
    <definedName name="_xlnm._FilterDatabase" localSheetId="3" hidden="1">视频与订单复盘!$A$1:$AG$301</definedName>
    <definedName name="_xlnm._FilterDatabase" localSheetId="1" hidden="1">达人线索与合作!$A$1:$AF$301</definedName>
    <definedName name="ApprovalStatus">'参数字典'!$O$2:$O$6</definedName>
    <definedName name="CollabType">'参数字典'!$N$2:$N$5</definedName>
    <definedName name="EvidenceStatus">'参数字典'!$S$2:$S$5</definedName>
    <definedName name="LeadStatus">'参数字典'!$M$2:$M$13</definedName>
    <definedName name="_xlnm.Print_Titles" localSheetId="0">参数字典!$1:$1</definedName>
    <definedName name="_xlnm.Print_Titles" localSheetId="2">寄样履约!$1:$1</definedName>
    <definedName name="_xlnm.Print_Titles" localSheetId="4">报价测算!$1:$1</definedName>
    <definedName name="_xlnm.Print_Titles" localSheetId="5">每周漏斗!$1:$1</definedName>
    <definedName name="_xlnm.Print_Titles" localSheetId="3">视频与订单复盘!$1:$1</definedName>
    <definedName name="_xlnm.Print_Titles" localSheetId="1">达人线索与合作!$1:$1</definedName>
    <definedName name="ReviewStatus">'参数字典'!$Q$2:$Q$7</definedName>
    <definedName name="SampleStatus">'参数字典'!$P$2:$P$9</definedName>
    <definedName name="YesNo">'参数字典'!$R$2:$R$3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线索ID唯一。一个达人可有多次合作；后续合作新建线索/合作行，达人UID保持一致。</t>
        </r>
      </text>
    </comment>
    <comment ref="J1" authorId="0">
      <text>
        <r>
          <rPr>
            <sz val="8"/>
            <color indexed="81"/>
            <rFont val="Tahoma"/>
            <family val="2"/>
          </rPr>
          <t>取明确观察区间内相关视频的中位数，记录样本条数和证据；不只看粉丝量或单条爆款。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W1" authorId="0">
      <text>
        <r>
          <rPr>
            <sz val="8"/>
            <color indexed="81"/>
            <rFont val="Tahoma"/>
            <family val="2"/>
          </rPr>
          <t>建议只记录权限受限的公司收件信息表位置，不把手机号和详细地址散落在多个台账里。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一行=合作ID×视频ID×SKU×归因窗口的一份累计快照。同一窗口的次日数据更新原行，不重复追加每日累计值。</t>
        </r>
      </text>
    </comment>
    <comment ref="P1" authorId="0">
      <text>
        <r>
          <rPr>
            <sz val="8"/>
            <color indexed="81"/>
            <rFont val="Tahoma"/>
            <family val="2"/>
          </rPr>
          <t>填同口径售后后的实际净收入，尚未扣本表R/S/U:X费用。若后台净额已扣佣金或平台费，先还原或改用另一不重复扣费的口径；不要混用。</t>
        </r>
      </text>
    </comment>
    <comment ref="W1" authorId="0">
      <text>
        <r>
          <rPr>
            <sz val="8"/>
            <color indexed="81"/>
            <rFont val="Tahoma"/>
            <family val="2"/>
          </rPr>
          <t>同一合作多视频时按事先约定分摊固定费，总分摊额应等于实际固定费；不要每个视频重复扣整笔。样品费同理。</t>
        </r>
      </text>
    </comment>
    <comment ref="AD1" authorId="0">
      <text>
        <r>
          <rPr>
            <sz val="8"/>
            <color indexed="81"/>
            <rFont val="Tahoma"/>
            <family val="2"/>
          </rPr>
          <t>同一合作×视频×SKU只允许选一个最终非重复窗口为“是”；观察窗口选“否”。多个独立非重叠订单分组须先核对去重后汇总到唯一行。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按每个有效结算订单填写、尚未扣H:K/R:S费用的净收入。已扣佣/平台费的后台净额不能再次扣佣。无法回收的退款/售后损失可摊入K，不与F重复。</t>
        </r>
      </text>
    </comment>
    <comment ref="G1" authorId="0">
      <text>
        <r>
          <rPr>
            <sz val="8"/>
            <color indexed="81"/>
            <rFont val="Tahoma"/>
            <family val="2"/>
          </rPr>
          <t>计佣销售额未必等于净收入。退款、优惠、补贴和阶梯佣金以合同/后台实际口径确认。</t>
        </r>
      </text>
    </comment>
    <comment ref="N1" authorId="0">
      <text>
        <r>
          <rPr>
            <sz val="8"/>
            <color indexed="81"/>
            <rFont val="Tahoma"/>
            <family val="2"/>
          </rPr>
          <t>平台/支付费与佣金分别使用自己的计提基数，不默认等于售价。</t>
        </r>
      </text>
    </comment>
    <comment ref="V1" authorId="0">
      <text>
        <r>
          <rPr>
            <sz val="8"/>
            <color indexed="81"/>
            <rFont val="Tahoma"/>
            <family val="2"/>
          </rPr>
          <t>仅在单笔贡献&gt;0时计算ceil((固定费+全部寄样投入)/单笔贡献)。这是基于假设的静态测算，不是成交预测。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1" authorId="0">
      <text>
        <r>
          <rPr>
            <sz val="8"/>
            <color indexed="81"/>
            <rFont val="Tahoma"/>
            <family val="2"/>
          </rPr>
          <t>本页统计每周发生的里程碑事件，不是同批达人从触达到成交的转化率；不同阶段来自不同批次，不能直接相除。</t>
        </r>
      </text>
    </comment>
    <comment ref="I1" authorId="0">
      <text>
        <r>
          <rPr>
            <sz val="8"/>
            <color indexed="81"/>
            <rFont val="Tahoma"/>
            <family val="2"/>
          </rPr>
          <t>按视频ID去重，通过视频页AG辅助列计数。同一视频所有观察行的发布日期和负责人必须一致，否则辅助列提示修正且暂不计数。</t>
        </r>
      </text>
    </comment>
    <comment ref="J1" authorId="0">
      <text>
        <r>
          <rPr>
            <sz val="8"/>
            <color indexed="81"/>
            <rFont val="Tahoma"/>
            <family val="2"/>
          </rPr>
          <t>按本周发布日期划分的队列累计结果，只纳入记录检查为“可汇总”的最终记录。不是本周支付流水、现金到账或店铺总GMV。</t>
        </r>
      </text>
    </comment>
    <comment ref="L1" authorId="0">
      <text>
        <r>
          <rPr>
            <sz val="8"/>
            <color indexed="81"/>
            <rFont val="Tahoma"/>
            <family val="2"/>
          </rPr>
          <t>未知成本行不会贡献到SUMIFS，必须在周会前核查寄样成本“待补充”，不能把未填当零成本。</t>
        </r>
      </text>
    </comment>
  </commentList>
</comments>
</file>

<file path=xl/sharedStrings.xml><?xml version="1.0" encoding="utf-8"?>
<sst xmlns="http://schemas.openxmlformats.org/spreadsheetml/2006/main" count="370" uniqueCount="299">
  <si>
    <t>分类</t>
  </si>
  <si>
    <t>资料项</t>
  </si>
  <si>
    <t>当前已核实值（未知留空）</t>
  </si>
  <si>
    <t>单位 / 适用口径</t>
  </si>
  <si>
    <t>证据或资料位置</t>
  </si>
  <si>
    <t>核对负责人</t>
  </si>
  <si>
    <t>核对日期</t>
  </si>
  <si>
    <t>有效 / 到期日期</t>
  </si>
  <si>
    <t>状态</t>
  </si>
  <si>
    <t>下次核对日期</t>
  </si>
  <si>
    <t>备注 / 待确认问题</t>
  </si>
  <si>
    <t>LeadStatus</t>
  </si>
  <si>
    <t>待筛选</t>
  </si>
  <si>
    <t>待触达</t>
  </si>
  <si>
    <t>已触达</t>
  </si>
  <si>
    <t>沟通中</t>
  </si>
  <si>
    <t>待审批</t>
  </si>
  <si>
    <t>待寄样</t>
  </si>
  <si>
    <t>试用中</t>
  </si>
  <si>
    <t>待发布</t>
  </si>
  <si>
    <t>已发布观察</t>
  </si>
  <si>
    <t>待结算</t>
  </si>
  <si>
    <t>复盘完成</t>
  </si>
  <si>
    <t>终止</t>
  </si>
  <si>
    <t>CollabType</t>
  </si>
  <si>
    <t>纯佣</t>
  </si>
  <si>
    <t>固定费+佣金</t>
  </si>
  <si>
    <t>固定费</t>
  </si>
  <si>
    <t>其他待核实</t>
  </si>
  <si>
    <t>ApprovalStatus</t>
  </si>
  <si>
    <t>待申请</t>
  </si>
  <si>
    <t>审批中</t>
  </si>
  <si>
    <t>已批准</t>
  </si>
  <si>
    <t>已拒绝</t>
  </si>
  <si>
    <t>不涉及</t>
  </si>
  <si>
    <t>SampleStatus</t>
  </si>
  <si>
    <t>待发出</t>
  </si>
  <si>
    <t>运输中</t>
  </si>
  <si>
    <t>已签收</t>
  </si>
  <si>
    <t>待反馈</t>
  </si>
  <si>
    <t>已完成</t>
  </si>
  <si>
    <t>异常</t>
  </si>
  <si>
    <t>已取消</t>
  </si>
  <si>
    <t>ReviewStatus</t>
  </si>
  <si>
    <t>已复盘</t>
  </si>
  <si>
    <t>YesNo</t>
  </si>
  <si>
    <t>是</t>
  </si>
  <si>
    <t>否</t>
  </si>
  <si>
    <t>EvidenceStatus</t>
  </si>
  <si>
    <t>待核实</t>
  </si>
  <si>
    <t>已确认</t>
  </si>
  <si>
    <t>已过期</t>
  </si>
  <si>
    <t>不适用</t>
  </si>
  <si>
    <t>商品</t>
  </si>
  <si>
    <t>SKU 与商品全名</t>
  </si>
  <si>
    <t>区分规格、口味、组合、版本，防止错链</t>
  </si>
  <si>
    <t>规格 / 净含量 / 件数</t>
  </si>
  <si>
    <t>与实物包装、商品详情页一致</t>
  </si>
  <si>
    <t>配料表</t>
  </si>
  <si>
    <t>用当前版本包装或审核资料；不凭口感推断</t>
  </si>
  <si>
    <t>过敏原与交叉接触说明</t>
  </si>
  <si>
    <t>以包装及已审核资料为准，不自行推断</t>
  </si>
  <si>
    <t>营养标签</t>
  </si>
  <si>
    <t>按包装标注单位、每份/每100克，避免混用</t>
  </si>
  <si>
    <t>生产 / 经营资质与许可</t>
  </si>
  <si>
    <t>核实主体、商品与经营范围，资料仅限授权用途</t>
  </si>
  <si>
    <t>生产批次 / 保质期</t>
  </si>
  <si>
    <t>记录适用批次与起算条件，不能以旧批次代替</t>
  </si>
  <si>
    <t>储存方式与食用方法</t>
  </si>
  <si>
    <t>与包装要求一致；常温/冷藏等不自行假定</t>
  </si>
  <si>
    <t>卖点证据与禁用宣称</t>
  </si>
  <si>
    <t>口味等主观感受标明；功效、绝对化、产地等须有证据</t>
  </si>
  <si>
    <t>价格</t>
  </si>
  <si>
    <t>日常价 / 活动价 / 券后价</t>
  </si>
  <si>
    <t>区分商家承担与平台承担优惠及生效区间</t>
  </si>
  <si>
    <t>达人专属机制与变更权限</t>
  </si>
  <si>
    <t>谁可批价、批佣、批固定费，超限交谁批准</t>
  </si>
  <si>
    <t>利润</t>
  </si>
  <si>
    <t>单笔售后后净收入口径</t>
  </si>
  <si>
    <t>尚未扣本模型费用；勿把已扣佣结算净额再次扣佣</t>
  </si>
  <si>
    <t>有效计佣销售额与佣金规则</t>
  </si>
  <si>
    <t>以合同及后台为准，核对退款、补贴、税费和阶梯规则</t>
  </si>
  <si>
    <t>平台 / 支付费计提基数</t>
  </si>
  <si>
    <t>费率、基数、退款返还等以实际约定为准</t>
  </si>
  <si>
    <t>货品 / 包材 / 履约 / 售后损失</t>
  </si>
  <si>
    <t>完整退款订单的不可回收费用需计入，不重复扣损失</t>
  </si>
  <si>
    <t>履约</t>
  </si>
  <si>
    <t>发货地 / 发货时效</t>
  </si>
  <si>
    <t>核对承诺、截单时间、预售和节假日例外</t>
  </si>
  <si>
    <t>可售库存与查询频率</t>
  </si>
  <si>
    <t>可售库存、活动库存、预留量分别确认</t>
  </si>
  <si>
    <t>配送与包邮地区</t>
  </si>
  <si>
    <t>偏远地区、运费、无法配送范围</t>
  </si>
  <si>
    <t>售后口径与升级负责人</t>
  </si>
  <si>
    <t>破损、漏发、质量异议、退款责任及举证流程</t>
  </si>
  <si>
    <t>预算</t>
  </si>
  <si>
    <t>固定费 / 寄样预算与审批链</t>
  </si>
  <si>
    <t>审批额度、财务付款要求、收款主体核验</t>
  </si>
  <si>
    <t>结算</t>
  </si>
  <si>
    <t>订单归因窗口</t>
  </si>
  <si>
    <t>区分视频、直播、店铺自然、投流，重叠窗口不能直接相加</t>
  </si>
  <si>
    <t>数据截至与最终结算周期</t>
  </si>
  <si>
    <t>支付数据、售后后数据与平台结算数据分开</t>
  </si>
  <si>
    <t>固定费 / 寄样费用分摊规则</t>
  </si>
  <si>
    <t>一合作多视频时只分摊一次，总额必须对得上</t>
  </si>
  <si>
    <t>协作</t>
  </si>
  <si>
    <t>商务 / 内容 / 客服 / 供应链联系人</t>
  </si>
  <si>
    <t>谁负责，谁审批，异常向谁升级</t>
  </si>
  <si>
    <t>后台权限与证据访问范围</t>
  </si>
  <si>
    <t>按实际授权操作，不分享账号口令或无关个人信息</t>
  </si>
  <si>
    <t>素材 / 达人内容授权范围</t>
  </si>
  <si>
    <t>可否二剪、投流、转载、使用期限与主体</t>
  </si>
  <si>
    <t>目标</t>
  </si>
  <si>
    <t>部门 KPI 与考核口径</t>
  </si>
  <si>
    <t>待公司确认；不预设触达量、视频量或 GMV 指标</t>
  </si>
  <si>
    <t>线索ID</t>
  </si>
  <si>
    <t>合作ID</t>
  </si>
  <si>
    <t>达人UID</t>
  </si>
  <si>
    <t>达人名称</t>
  </si>
  <si>
    <t>主页链接</t>
  </si>
  <si>
    <t>负责人</t>
  </si>
  <si>
    <t>线索来源</t>
  </si>
  <si>
    <t>内容类目 / 场景</t>
  </si>
  <si>
    <t>人群场景匹配1–5</t>
  </si>
  <si>
    <t>相关视频播放中位数</t>
  </si>
  <si>
    <t>观察样本起日</t>
  </si>
  <si>
    <t>观察样本止日</t>
  </si>
  <si>
    <t>样本条数</t>
  </si>
  <si>
    <t>类目成交证据位置</t>
  </si>
  <si>
    <t>退款 / 履约观察</t>
  </si>
  <si>
    <t>异常 / 历史合作记录</t>
  </si>
  <si>
    <t>合作形式</t>
  </si>
  <si>
    <t>固定费报价</t>
  </si>
  <si>
    <t>佣金比例</t>
  </si>
  <si>
    <t>当前状态</t>
  </si>
  <si>
    <t>首次录入日期</t>
  </si>
  <si>
    <t>最近跟进日期</t>
  </si>
  <si>
    <t>下次跟进日期</t>
  </si>
  <si>
    <t>约定发片日期</t>
  </si>
  <si>
    <t>拟合作SKU / 版本</t>
  </si>
  <si>
    <t>预算审批状态</t>
  </si>
  <si>
    <t>审批凭据位置</t>
  </si>
  <si>
    <t>沟通结论 / 退出原因</t>
  </si>
  <si>
    <t>首次触达日期</t>
  </si>
  <si>
    <t>达成合作日期</t>
  </si>
  <si>
    <t>商品资料确认日期</t>
  </si>
  <si>
    <t>记录检查（自动）</t>
  </si>
  <si>
    <t>寄样单ID</t>
  </si>
  <si>
    <t>SKU / 口味 / 批次</t>
  </si>
  <si>
    <t>申请日期</t>
  </si>
  <si>
    <t>批准日期</t>
  </si>
  <si>
    <t>寄出日期</t>
  </si>
  <si>
    <t>快递公司</t>
  </si>
  <si>
    <t>运单号</t>
  </si>
  <si>
    <t>签收日期</t>
  </si>
  <si>
    <t>约定反馈日期</t>
  </si>
  <si>
    <t>试用反馈</t>
  </si>
  <si>
    <t>样品货品成本</t>
  </si>
  <si>
    <t>样品包材</t>
  </si>
  <si>
    <t>寄样物流费</t>
  </si>
  <si>
    <t>寄样总投入（自动）</t>
  </si>
  <si>
    <t>异常问题 / 升级人</t>
  </si>
  <si>
    <t>收件信息受限存储位置</t>
  </si>
  <si>
    <t>签收凭证位置</t>
  </si>
  <si>
    <t>商品资料已确认</t>
  </si>
  <si>
    <t>归因记录ID</t>
  </si>
  <si>
    <t>视频ID</t>
  </si>
  <si>
    <t>SKU / 版本</t>
  </si>
  <si>
    <t>归因窗口起</t>
  </si>
  <si>
    <t>归因窗口止</t>
  </si>
  <si>
    <t>数据截至日期</t>
  </si>
  <si>
    <t>发布日期</t>
  </si>
  <si>
    <t>视频链接</t>
  </si>
  <si>
    <t>播放量</t>
  </si>
  <si>
    <t>商品点击量</t>
  </si>
  <si>
    <t>支付订单</t>
  </si>
  <si>
    <t>支付GMV</t>
  </si>
  <si>
    <t>退款金额</t>
  </si>
  <si>
    <t>有效净收入（未扣本表费用）</t>
  </si>
  <si>
    <t>有效计佣销售额</t>
  </si>
  <si>
    <t>实际佣金</t>
  </si>
  <si>
    <t>平台 / 支付费</t>
  </si>
  <si>
    <t>有效结算订单</t>
  </si>
  <si>
    <t>货品+包材+履约实际成本</t>
  </si>
  <si>
    <t>其他变动成本</t>
  </si>
  <si>
    <t>固定费分摊</t>
  </si>
  <si>
    <t>样品与物流分摊</t>
  </si>
  <si>
    <t>贡献估算（自动）</t>
  </si>
  <si>
    <t>归因口径证据位置</t>
  </si>
  <si>
    <t>复盘结论 / 下轮动作</t>
  </si>
  <si>
    <t>下次复盘日期</t>
  </si>
  <si>
    <t>是否纳入汇总</t>
  </si>
  <si>
    <t>分摊口径说明</t>
  </si>
  <si>
    <t>视频唯一计数（自动）</t>
  </si>
  <si>
    <t>测算ID</t>
  </si>
  <si>
    <t>场景与有效订单口径</t>
  </si>
  <si>
    <t>证据 / 参数版本位置</t>
  </si>
  <si>
    <t>单笔售后后净收入</t>
  </si>
  <si>
    <t>单笔有效计佣销售额</t>
  </si>
  <si>
    <t>单笔货品成本</t>
  </si>
  <si>
    <t>单笔包材</t>
  </si>
  <si>
    <t>单笔履约运费</t>
  </si>
  <si>
    <t>单笔其他变动成本</t>
  </si>
  <si>
    <t>平台 / 支付费率</t>
  </si>
  <si>
    <t>单笔平台费计费基数</t>
  </si>
  <si>
    <t>固定合作费</t>
  </si>
  <si>
    <t>样品+包材+寄样物流总投入</t>
  </si>
  <si>
    <t>情景有效订单数（可选）</t>
  </si>
  <si>
    <t>单笔佣金（自动）</t>
  </si>
  <si>
    <t>单笔平台费（自动）</t>
  </si>
  <si>
    <t>单笔贡献（自动）</t>
  </si>
  <si>
    <t>前置总投入（自动）</t>
  </si>
  <si>
    <t>保本有效订单数（自动）</t>
  </si>
  <si>
    <t>情景贡献（自动）</t>
  </si>
  <si>
    <t>测算日期</t>
  </si>
  <si>
    <t>下次校准日期</t>
  </si>
  <si>
    <t>风险备注 / 待核实项</t>
  </si>
  <si>
    <t>周起始日期（手填）</t>
  </si>
  <si>
    <t>负责人（空=全部）</t>
  </si>
  <si>
    <t>周截止（不含，自动）</t>
  </si>
  <si>
    <t>新增线索</t>
  </si>
  <si>
    <t>首次触达</t>
  </si>
  <si>
    <t>达成合作</t>
  </si>
  <si>
    <t>寄出样品单</t>
  </si>
  <si>
    <t>签收样品单</t>
  </si>
  <si>
    <t>发布视频数（去重）</t>
  </si>
  <si>
    <t>本周发片队列已核实净收入</t>
  </si>
  <si>
    <t>本周发片队列贡献估算</t>
  </si>
  <si>
    <t>本周寄出样品投入</t>
  </si>
  <si>
    <t>本周主要问题 / 下周动作</t>
  </si>
  <si>
    <t>复盘负责人</t>
  </si>
  <si>
    <t>复盘日期</t>
  </si>
  <si>
    <t>下次检查日期</t>
  </si>
  <si>
    <t>仅用于理解公式的虚构示例，不能当作公司价格、佣金、成本或业绩目标。</t>
  </si>
  <si>
    <t>输入项</t>
  </si>
  <si>
    <t>纯演示数值</t>
  </si>
  <si>
    <t>口径</t>
  </si>
  <si>
    <t>未扣下列成本/佣金/平台费；金额均为虚构示例</t>
  </si>
  <si>
    <t>佣金计提基数单独确认，不默认等于净收入</t>
  </si>
  <si>
    <t>货品 / 包材 / 履约 / 其他</t>
  </si>
  <si>
    <t>8 / 1 / 2 / 0.5</t>
  </si>
  <si>
    <t>每个有效订单平均承担的成本</t>
  </si>
  <si>
    <t>佣金比例 / 平台费率</t>
  </si>
  <si>
    <t>10% / 1%</t>
  </si>
  <si>
    <t>仅演示，不是公司政策或平台标准</t>
  </si>
  <si>
    <t>平台费计费基数</t>
  </si>
  <si>
    <t>单独输入计费基数</t>
  </si>
  <si>
    <t>固定合作费 / 全部寄样投入</t>
  </si>
  <si>
    <t>100 / 20</t>
  </si>
  <si>
    <t>前置投入总计120，不能在不同视频重复扣整笔</t>
  </si>
  <si>
    <t>单笔佣金</t>
  </si>
  <si>
    <t>18×10%</t>
  </si>
  <si>
    <t>单笔平台费</t>
  </si>
  <si>
    <t>20×1%</t>
  </si>
  <si>
    <t>单笔贡献</t>
  </si>
  <si>
    <t>20−8−1−2−0.5−1.8−0.2</t>
  </si>
  <si>
    <t>保本有效结算订单数</t>
  </si>
  <si>
    <t>ceil(120/6.5)；不是预计一定卖出19单</t>
  </si>
  <si>
    <t>假设有效结算20单的贡献</t>
  </si>
  <si>
    <t>20×6.5−120；仅静态场景，不能用支付GMV替代贡献</t>
  </si>
  <si>
    <t>贡献=0或负数</t>
  </si>
  <si>
    <t>不可保本</t>
  </si>
  <si>
    <t>不做除零，不给负数或无限订单数</t>
  </si>
  <si>
    <t>有未知必填参数</t>
  </si>
  <si>
    <t>待补充</t>
  </si>
  <si>
    <t>未知成本留空；确认没有该费用时再填0</t>
  </si>
  <si>
    <t>同视频1/3/7天累计窗口</t>
  </si>
  <si>
    <t>只选一个最终窗口汇总</t>
  </si>
  <si>
    <t>观察窗口标否；同一窗口更新原行，不累计每日快照</t>
  </si>
  <si>
    <t>合作C001 / 视频V001+V002</t>
  </si>
  <si>
    <t>固定费分摊合计100</t>
  </si>
  <si>
    <t>如按50+50分摊，总计应为100；不能每个视频各填100</t>
  </si>
  <si>
    <t>达人短视频带货商务 · 精细化台账</t>
  </si>
  <si>
    <t>这是可调整的空白工具，不是公司制度、平台规则或业绩承诺。先确认价格利润、审批权限、商品证据和结算归因，再填真实数据。</t>
  </si>
  <si>
    <t>如何开始</t>
  </si>
  <si>
    <t>1 先核资料</t>
  </si>
  <si>
    <t>在参数字典确认SKU、配料/营养/净含量、资质、保质储存、发货售后、成本与计费规则；待核实不等于已合规。</t>
  </si>
  <si>
    <t>2 再建档</t>
  </si>
  <si>
    <t>达人UID标识账号；线索ID标识一次线索处理；合作ID标识一笔合作，一合作一行。寄样单ID和视频ID分别标识履约与内容。</t>
  </si>
  <si>
    <t>3 状态与跟进</t>
  </si>
  <si>
    <t>填写负责人、当前状态、最近动作、下次跟进日期。红底提示日期逾期；按实际结论更新，不能为了清零直接标完成。</t>
  </si>
  <si>
    <t>4 预算前置</t>
  </si>
  <si>
    <t>报价测算填写同一SKU/同一口径参数。空白表示未知，0表示已核实不计费。模型金额估算到4位小数，实际佣金/税费/舍入以合同后台为准。</t>
  </si>
  <si>
    <t>5 控制寄样</t>
  </si>
  <si>
    <t>审批通过、商品资料确认、收件信息核对后发出。记录真实寄出、签收、反馈、下次跟进与成本。收件详细资料建议放受限公司表，只在此记位置。</t>
  </si>
  <si>
    <t>6 防止重复归因</t>
  </si>
  <si>
    <t>复盘一行=合作×视频×SKU×窗口累计快照，同一窗口更新原行。一个合作×视频×SKU只把一个最终窗口标为纳入汇总。记录检查不是完整财务审计。</t>
  </si>
  <si>
    <t>7 费用只扣一次</t>
  </si>
  <si>
    <t>复盘P列净收入尚未扣R/S/U:X费用；已扣费的后台结算净额不能再扣相同费用。一合作多视频需分摊固定费和样品费，汇总核对总额。</t>
  </si>
  <si>
    <t>8 周会看事件与队列</t>
  </si>
  <si>
    <t>每周漏斗按事件日期统计，不把不同批次直接除成转化率。净收入/贡献是本周发片队列后续已核实结果，不是本周收款。未填成本必须人工追补。</t>
  </si>
  <si>
    <t>9 保存与权限</t>
  </si>
  <si>
    <t>工作簿需按公司授权保存。没有自动同步、爬虫、账号登录或后台数据采集。定期备份，分享前移除手机号、地址、成本及未授权数据。</t>
  </si>
  <si>
    <t>10 查看示例</t>
  </si>
  <si>
    <t>示例页数字全部虚构，独立于正式表，不参与任何汇总。所有正式工作表默认留空，不预设公司KPI或佣金比例。</t>
  </si>
  <si>
    <t>颜色、容量与计算</t>
  </si>
  <si>
    <t>浅蓝区域填写；浅黄区域是自动公式，建议不要覆盖。每个台账预留300行，周表预留52周；超过范围需同步延展公式、校验和汇总范围。灰色为说明。可使用表头筛选和冻结列。</t>
  </si>
  <si>
    <t>首次使用请在 Excel / WPS 中允许自动计算并重新计算（通常 F9）。生成工具已校验文件结构、公式引用、空值和保本边界；本工具没有在真实 Excel 中执行公式，不能把结构检查当作实机结算验证。</t>
  </si>
  <si>
    <t>报价测算核心：单笔贡献=售后后净收入−货品−包材−履约−其他变动成本−有效计佣销售额×佣金率−平台费基数×费率；前置投入=固定费+样品及寄样投入；仅贡献&gt;0时保本有效订单=向上取整(前置投入/单笔贡献)。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</si>
</sst>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%"/>
  </numFmts>
  <fonts count="10">
    <font>
      <sz val="11"/>
      <color theme="1"/>
      <name val="Calibri"/>
      <family val="2"/>
      <scheme val="minor"/>
    </font>
    <font>
      <sz val="10"/>
      <color rgb="FF285B79"/>
      <name val="微软雅黑"/>
      <family val="2"/>
    </font>
    <font>
      <b/>
      <sz val="10"/>
      <color rgb="FFFFFFFF"/>
      <name val="微软雅黑"/>
      <family val="2"/>
    </font>
    <font>
      <sz val="10"/>
      <color theme="1"/>
      <name val="微软雅黑"/>
      <family val="2"/>
    </font>
    <font>
      <sz val="10"/>
      <color rgb="FF737D83"/>
      <name val="微软雅黑"/>
      <family val="2"/>
    </font>
    <font>
      <sz val="10"/>
      <color rgb="FF83632E"/>
      <name val="微软雅黑"/>
      <family val="2"/>
    </font>
    <font>
      <b/>
      <sz val="10"/>
      <color rgb="FF9B5C24"/>
      <name val="微软雅黑"/>
      <family val="2"/>
    </font>
    <font>
      <b/>
      <sz val="19"/>
      <color rgb="FF243E3D"/>
      <name val="微软雅黑"/>
      <family val="2"/>
    </font>
    <font>
      <b/>
      <sz val="12"/>
      <color rgb="FF243E3D"/>
      <name val="微软雅黑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3F8FC"/>
        <bgColor indexed="64"/>
      </patternFill>
    </fill>
    <fill>
      <patternFill patternType="solid">
        <fgColor rgb="FF243E3D"/>
        <bgColor indexed="64"/>
      </patternFill>
    </fill>
    <fill>
      <patternFill patternType="solid">
        <fgColor rgb="FFF4F5F6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FF3DA"/>
        <bgColor indexed="64"/>
      </patternFill>
    </fill>
    <fill>
      <patternFill patternType="solid">
        <fgColor rgb="FFE9F0EB"/>
        <bgColor indexed="64"/>
      </patternFill>
    </fill>
  </fills>
  <borders count="4">
    <border>
      <left/>
      <right/>
      <top/>
      <bottom/>
      <diagonal/>
    </border>
    <border>
      <left style="thin">
        <color rgb="FFE2EBED"/>
      </left>
      <right style="thin">
        <color rgb="FFE2EBED"/>
      </right>
      <top style="thin">
        <color rgb="FFE2EBED"/>
      </top>
      <bottom style="thin">
        <color rgb="FFE2EBED"/>
      </bottom>
      <diagonal/>
    </border>
    <border>
      <left style="thin">
        <color rgb="FF49605C"/>
      </left>
      <right style="thin">
        <color rgb="FF49605C"/>
      </right>
      <top style="thin">
        <color rgb="FF49605C"/>
      </top>
      <bottom style="thin">
        <color rgb="FF49605C"/>
      </bottom>
      <diagonal/>
    </border>
    <border>
      <left style="thin">
        <color rgb="FFEEE5D2"/>
      </left>
      <right style="thin">
        <color rgb="FFEEE5D2"/>
      </right>
      <top style="thin">
        <color rgb="FFEEE5D2"/>
      </top>
      <bottom style="thin">
        <color rgb="FFEEE5D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4" borderId="0" xfId="0" applyFont="1" applyFill="1" applyAlignment="1">
      <alignment vertical="top" wrapText="1"/>
    </xf>
    <xf numFmtId="1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165" fontId="5" fillId="5" borderId="3" xfId="0" applyNumberFormat="1" applyFont="1" applyFill="1" applyBorder="1" applyAlignment="1">
      <alignment vertical="top" wrapText="1"/>
    </xf>
    <xf numFmtId="164" fontId="5" fillId="5" borderId="0" xfId="0" applyNumberFormat="1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7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color rgb="FFA83C2C"/>
      </font>
      <fill>
        <patternFill>
          <bgColor rgb="FFFCE8E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89F8D"/>
    <pageSetUpPr fitToPage="1"/>
  </sheetPr>
  <dimension ref="A1:S2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4" customHeight="1"/>
  <cols>
    <col min="1" max="1" width="14.7109375" style="1" customWidth="1"/>
    <col min="2" max="2" width="28.7109375" style="1" customWidth="1"/>
    <col min="3" max="4" width="32.7109375" style="1" customWidth="1"/>
    <col min="5" max="5" width="30.7109375" style="1" customWidth="1"/>
    <col min="6" max="6" width="18.7109375" style="1" customWidth="1"/>
    <col min="7" max="8" width="14.7109375" style="2" customWidth="1"/>
    <col min="9" max="9" width="18.7109375" style="1" customWidth="1"/>
    <col min="10" max="10" width="14.7109375" style="2" customWidth="1"/>
    <col min="11" max="11" width="38.7109375" style="1" customWidth="1"/>
    <col min="13" max="19" width="0" hidden="1" customWidth="1"/>
  </cols>
  <sheetData>
    <row r="1" spans="1:19" ht="48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3" t="s">
        <v>11</v>
      </c>
      <c r="N1" s="3" t="s">
        <v>24</v>
      </c>
      <c r="O1" s="3" t="s">
        <v>29</v>
      </c>
      <c r="P1" s="3" t="s">
        <v>35</v>
      </c>
      <c r="Q1" s="3" t="s">
        <v>43</v>
      </c>
      <c r="R1" s="3" t="s">
        <v>45</v>
      </c>
      <c r="S1" s="3" t="s">
        <v>48</v>
      </c>
    </row>
    <row r="2" spans="1:19" ht="34" customHeight="1">
      <c r="A2" s="4" t="s">
        <v>53</v>
      </c>
      <c r="B2" s="4" t="s">
        <v>54</v>
      </c>
      <c r="D2" s="5" t="s">
        <v>55</v>
      </c>
      <c r="I2" s="1" t="s">
        <v>49</v>
      </c>
      <c r="M2" t="s">
        <v>12</v>
      </c>
      <c r="N2" t="s">
        <v>25</v>
      </c>
      <c r="O2" t="s">
        <v>30</v>
      </c>
      <c r="P2" t="s">
        <v>16</v>
      </c>
      <c r="Q2" t="s">
        <v>19</v>
      </c>
      <c r="R2" t="s">
        <v>46</v>
      </c>
      <c r="S2" t="s">
        <v>49</v>
      </c>
    </row>
    <row r="3" spans="1:19" ht="34" customHeight="1">
      <c r="A3" s="4" t="s">
        <v>53</v>
      </c>
      <c r="B3" s="4" t="s">
        <v>56</v>
      </c>
      <c r="D3" s="5" t="s">
        <v>57</v>
      </c>
      <c r="I3" s="1" t="s">
        <v>49</v>
      </c>
      <c r="M3" t="s">
        <v>13</v>
      </c>
      <c r="N3" t="s">
        <v>26</v>
      </c>
      <c r="O3" t="s">
        <v>31</v>
      </c>
      <c r="P3" t="s">
        <v>36</v>
      </c>
      <c r="Q3" t="s">
        <v>20</v>
      </c>
      <c r="R3" t="s">
        <v>47</v>
      </c>
      <c r="S3" t="s">
        <v>50</v>
      </c>
    </row>
    <row r="4" spans="1:19" ht="34" customHeight="1">
      <c r="A4" s="4" t="s">
        <v>53</v>
      </c>
      <c r="B4" s="4" t="s">
        <v>58</v>
      </c>
      <c r="D4" s="5" t="s">
        <v>59</v>
      </c>
      <c r="I4" s="1" t="s">
        <v>49</v>
      </c>
      <c r="M4" t="s">
        <v>14</v>
      </c>
      <c r="N4" t="s">
        <v>27</v>
      </c>
      <c r="O4" t="s">
        <v>32</v>
      </c>
      <c r="P4" t="s">
        <v>37</v>
      </c>
      <c r="Q4" t="s">
        <v>21</v>
      </c>
      <c r="S4" t="s">
        <v>51</v>
      </c>
    </row>
    <row r="5" spans="1:19" ht="34" customHeight="1">
      <c r="A5" s="4" t="s">
        <v>53</v>
      </c>
      <c r="B5" s="4" t="s">
        <v>60</v>
      </c>
      <c r="D5" s="5" t="s">
        <v>61</v>
      </c>
      <c r="I5" s="1" t="s">
        <v>49</v>
      </c>
      <c r="M5" t="s">
        <v>15</v>
      </c>
      <c r="N5" t="s">
        <v>28</v>
      </c>
      <c r="O5" t="s">
        <v>33</v>
      </c>
      <c r="P5" t="s">
        <v>38</v>
      </c>
      <c r="Q5" t="s">
        <v>44</v>
      </c>
      <c r="S5" t="s">
        <v>52</v>
      </c>
    </row>
    <row r="6" spans="1:19" ht="34" customHeight="1">
      <c r="A6" s="4" t="s">
        <v>53</v>
      </c>
      <c r="B6" s="4" t="s">
        <v>62</v>
      </c>
      <c r="D6" s="5" t="s">
        <v>63</v>
      </c>
      <c r="I6" s="1" t="s">
        <v>49</v>
      </c>
      <c r="M6" t="s">
        <v>16</v>
      </c>
      <c r="O6" t="s">
        <v>34</v>
      </c>
      <c r="P6" t="s">
        <v>39</v>
      </c>
      <c r="Q6" t="s">
        <v>41</v>
      </c>
    </row>
    <row r="7" spans="1:19" ht="34" customHeight="1">
      <c r="A7" s="4" t="s">
        <v>53</v>
      </c>
      <c r="B7" s="4" t="s">
        <v>64</v>
      </c>
      <c r="D7" s="5" t="s">
        <v>65</v>
      </c>
      <c r="I7" s="1" t="s">
        <v>49</v>
      </c>
      <c r="M7" t="s">
        <v>17</v>
      </c>
      <c r="P7" t="s">
        <v>40</v>
      </c>
      <c r="Q7" t="s">
        <v>23</v>
      </c>
    </row>
    <row r="8" spans="1:19" ht="34" customHeight="1">
      <c r="A8" s="4" t="s">
        <v>53</v>
      </c>
      <c r="B8" s="4" t="s">
        <v>66</v>
      </c>
      <c r="D8" s="5" t="s">
        <v>67</v>
      </c>
      <c r="I8" s="1" t="s">
        <v>49</v>
      </c>
      <c r="M8" t="s">
        <v>18</v>
      </c>
      <c r="P8" t="s">
        <v>41</v>
      </c>
    </row>
    <row r="9" spans="1:19" ht="34" customHeight="1">
      <c r="A9" s="4" t="s">
        <v>53</v>
      </c>
      <c r="B9" s="4" t="s">
        <v>68</v>
      </c>
      <c r="D9" s="5" t="s">
        <v>69</v>
      </c>
      <c r="I9" s="1" t="s">
        <v>49</v>
      </c>
      <c r="M9" t="s">
        <v>19</v>
      </c>
      <c r="P9" t="s">
        <v>42</v>
      </c>
    </row>
    <row r="10" spans="1:19" ht="34" customHeight="1">
      <c r="A10" s="4" t="s">
        <v>53</v>
      </c>
      <c r="B10" s="4" t="s">
        <v>70</v>
      </c>
      <c r="D10" s="5" t="s">
        <v>71</v>
      </c>
      <c r="I10" s="1" t="s">
        <v>49</v>
      </c>
      <c r="M10" t="s">
        <v>20</v>
      </c>
    </row>
    <row r="11" spans="1:19" ht="34" customHeight="1">
      <c r="A11" s="4" t="s">
        <v>72</v>
      </c>
      <c r="B11" s="4" t="s">
        <v>73</v>
      </c>
      <c r="D11" s="5" t="s">
        <v>74</v>
      </c>
      <c r="I11" s="1" t="s">
        <v>49</v>
      </c>
      <c r="M11" t="s">
        <v>21</v>
      </c>
    </row>
    <row r="12" spans="1:19" ht="34" customHeight="1">
      <c r="A12" s="4" t="s">
        <v>72</v>
      </c>
      <c r="B12" s="4" t="s">
        <v>75</v>
      </c>
      <c r="D12" s="5" t="s">
        <v>76</v>
      </c>
      <c r="I12" s="1" t="s">
        <v>49</v>
      </c>
      <c r="M12" t="s">
        <v>22</v>
      </c>
    </row>
    <row r="13" spans="1:19" ht="34" customHeight="1">
      <c r="A13" s="4" t="s">
        <v>77</v>
      </c>
      <c r="B13" s="4" t="s">
        <v>78</v>
      </c>
      <c r="D13" s="5" t="s">
        <v>79</v>
      </c>
      <c r="I13" s="1" t="s">
        <v>49</v>
      </c>
      <c r="M13" t="s">
        <v>23</v>
      </c>
    </row>
    <row r="14" spans="1:19" ht="34" customHeight="1">
      <c r="A14" s="4" t="s">
        <v>77</v>
      </c>
      <c r="B14" s="4" t="s">
        <v>80</v>
      </c>
      <c r="D14" s="5" t="s">
        <v>81</v>
      </c>
      <c r="I14" s="1" t="s">
        <v>49</v>
      </c>
    </row>
    <row r="15" spans="1:19" ht="34" customHeight="1">
      <c r="A15" s="4" t="s">
        <v>77</v>
      </c>
      <c r="B15" s="4" t="s">
        <v>82</v>
      </c>
      <c r="D15" s="5" t="s">
        <v>83</v>
      </c>
      <c r="I15" s="1" t="s">
        <v>49</v>
      </c>
    </row>
    <row r="16" spans="1:19" ht="34" customHeight="1">
      <c r="A16" s="4" t="s">
        <v>77</v>
      </c>
      <c r="B16" s="4" t="s">
        <v>84</v>
      </c>
      <c r="D16" s="5" t="s">
        <v>85</v>
      </c>
      <c r="I16" s="1" t="s">
        <v>49</v>
      </c>
    </row>
    <row r="17" spans="1:9" ht="34" customHeight="1">
      <c r="A17" s="4" t="s">
        <v>86</v>
      </c>
      <c r="B17" s="4" t="s">
        <v>87</v>
      </c>
      <c r="D17" s="5" t="s">
        <v>88</v>
      </c>
      <c r="I17" s="1" t="s">
        <v>49</v>
      </c>
    </row>
    <row r="18" spans="1:9" ht="34" customHeight="1">
      <c r="A18" s="4" t="s">
        <v>86</v>
      </c>
      <c r="B18" s="4" t="s">
        <v>89</v>
      </c>
      <c r="D18" s="5" t="s">
        <v>90</v>
      </c>
      <c r="I18" s="1" t="s">
        <v>49</v>
      </c>
    </row>
    <row r="19" spans="1:9" ht="34" customHeight="1">
      <c r="A19" s="4" t="s">
        <v>86</v>
      </c>
      <c r="B19" s="4" t="s">
        <v>91</v>
      </c>
      <c r="D19" s="5" t="s">
        <v>92</v>
      </c>
      <c r="I19" s="1" t="s">
        <v>49</v>
      </c>
    </row>
    <row r="20" spans="1:9" ht="34" customHeight="1">
      <c r="A20" s="4" t="s">
        <v>86</v>
      </c>
      <c r="B20" s="4" t="s">
        <v>93</v>
      </c>
      <c r="D20" s="5" t="s">
        <v>94</v>
      </c>
      <c r="I20" s="1" t="s">
        <v>49</v>
      </c>
    </row>
    <row r="21" spans="1:9" ht="34" customHeight="1">
      <c r="A21" s="4" t="s">
        <v>95</v>
      </c>
      <c r="B21" s="4" t="s">
        <v>96</v>
      </c>
      <c r="D21" s="5" t="s">
        <v>97</v>
      </c>
      <c r="I21" s="1" t="s">
        <v>49</v>
      </c>
    </row>
    <row r="22" spans="1:9" ht="34" customHeight="1">
      <c r="A22" s="4" t="s">
        <v>98</v>
      </c>
      <c r="B22" s="4" t="s">
        <v>99</v>
      </c>
      <c r="D22" s="5" t="s">
        <v>100</v>
      </c>
      <c r="I22" s="1" t="s">
        <v>49</v>
      </c>
    </row>
    <row r="23" spans="1:9" ht="34" customHeight="1">
      <c r="A23" s="4" t="s">
        <v>98</v>
      </c>
      <c r="B23" s="4" t="s">
        <v>101</v>
      </c>
      <c r="D23" s="5" t="s">
        <v>102</v>
      </c>
      <c r="I23" s="1" t="s">
        <v>49</v>
      </c>
    </row>
    <row r="24" spans="1:9" ht="34" customHeight="1">
      <c r="A24" s="4" t="s">
        <v>98</v>
      </c>
      <c r="B24" s="4" t="s">
        <v>103</v>
      </c>
      <c r="D24" s="5" t="s">
        <v>104</v>
      </c>
      <c r="I24" s="1" t="s">
        <v>49</v>
      </c>
    </row>
    <row r="25" spans="1:9" ht="34" customHeight="1">
      <c r="A25" s="4" t="s">
        <v>105</v>
      </c>
      <c r="B25" s="4" t="s">
        <v>106</v>
      </c>
      <c r="D25" s="5" t="s">
        <v>107</v>
      </c>
      <c r="I25" s="1" t="s">
        <v>49</v>
      </c>
    </row>
    <row r="26" spans="1:9" ht="34" customHeight="1">
      <c r="A26" s="4" t="s">
        <v>105</v>
      </c>
      <c r="B26" s="4" t="s">
        <v>108</v>
      </c>
      <c r="D26" s="5" t="s">
        <v>109</v>
      </c>
      <c r="I26" s="1" t="s">
        <v>49</v>
      </c>
    </row>
    <row r="27" spans="1:9" ht="34" customHeight="1">
      <c r="A27" s="4" t="s">
        <v>105</v>
      </c>
      <c r="B27" s="4" t="s">
        <v>110</v>
      </c>
      <c r="D27" s="5" t="s">
        <v>111</v>
      </c>
      <c r="I27" s="1" t="s">
        <v>49</v>
      </c>
    </row>
    <row r="28" spans="1:9" ht="34" customHeight="1">
      <c r="A28" s="4" t="s">
        <v>112</v>
      </c>
      <c r="B28" s="4" t="s">
        <v>113</v>
      </c>
      <c r="D28" s="5" t="s">
        <v>114</v>
      </c>
      <c r="I28" s="1" t="s">
        <v>49</v>
      </c>
    </row>
  </sheetData>
  <autoFilter ref="A1:K301"/>
  <conditionalFormatting sqref="A2:K301">
    <cfRule type="expression" dxfId="0" priority="1">
      <formula>AND($H2&lt;&gt;"",$H2&lt;TODAY(),$I2&lt;&gt;"不适用")</formula>
    </cfRule>
  </conditionalFormatting>
  <dataValidations count="4">
    <dataValidation type="date" allowBlank="1" showInputMessage="1" showErrorMessage="1" errorTitle="日期不正确" error="请填写 2000–2100 年间有效日期。" promptTitle="真实业务日期" prompt="按 yyyy-mm-dd 填写；不知道先留空。" sqref="G2:G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H2:H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J2:J301">
      <formula1>36526</formula1>
      <formula2>73415</formula2>
    </dataValidation>
    <dataValidation type="list" allowBlank="1" showInputMessage="1" showErrorMessage="1" errorTitle="请选择有效状态" error="从下拉选项选择；参数字典中维护选项。" sqref="I2:I301">
      <formula1>EvidenceStatus</formula1>
    </dataValidation>
  </dataValidations>
  <pageMargins left="0.7" right="0.7" top="0.75" bottom="0.75" header="0.3" footer="0.3"/>
  <pageSetup fitToHeight="0" orientation="landscape"/>
  <headerFooter>
    <oddFooter>&amp;L达人带货商务 · 空白模板&amp;R第 &amp;P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89F8D"/>
    <pageSetUpPr fitToPage="1"/>
  </sheetPr>
  <dimension ref="A1:AF30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4" customHeight="1"/>
  <cols>
    <col min="1" max="3" width="18.7109375" style="1" customWidth="1"/>
    <col min="4" max="4" width="21.7109375" style="1" customWidth="1"/>
    <col min="5" max="5" width="30.7109375" style="1" customWidth="1"/>
    <col min="6" max="7" width="18.7109375" style="1" customWidth="1"/>
    <col min="8" max="8" width="26.7109375" style="1" customWidth="1"/>
    <col min="9" max="9" width="18.7109375" style="1" customWidth="1"/>
    <col min="10" max="10" width="17.7109375" style="6" customWidth="1"/>
    <col min="11" max="12" width="14.7109375" style="2" customWidth="1"/>
    <col min="13" max="13" width="17.7109375" style="6" customWidth="1"/>
    <col min="14" max="15" width="29.7109375" style="1" customWidth="1"/>
    <col min="16" max="16" width="28.7109375" style="1" customWidth="1"/>
    <col min="17" max="17" width="18.7109375" style="1" customWidth="1"/>
    <col min="18" max="18" width="17.7109375" style="7" customWidth="1"/>
    <col min="19" max="19" width="17.7109375" style="8" customWidth="1"/>
    <col min="20" max="20" width="18.7109375" style="1" customWidth="1"/>
    <col min="21" max="24" width="14.7109375" style="2" customWidth="1"/>
    <col min="25" max="25" width="26.7109375" style="1" customWidth="1"/>
    <col min="26" max="27" width="18.7109375" style="1" customWidth="1"/>
    <col min="28" max="28" width="40.7109375" style="1" customWidth="1"/>
    <col min="29" max="31" width="14.7109375" style="2" customWidth="1"/>
    <col min="32" max="32" width="34.7109375" style="1" customWidth="1"/>
  </cols>
  <sheetData>
    <row r="1" spans="1:32" ht="48" customHeight="1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130</v>
      </c>
      <c r="Q1" s="3" t="s">
        <v>131</v>
      </c>
      <c r="R1" s="3" t="s">
        <v>132</v>
      </c>
      <c r="S1" s="3" t="s">
        <v>133</v>
      </c>
      <c r="T1" s="3" t="s">
        <v>134</v>
      </c>
      <c r="U1" s="3" t="s">
        <v>135</v>
      </c>
      <c r="V1" s="3" t="s">
        <v>136</v>
      </c>
      <c r="W1" s="3" t="s">
        <v>137</v>
      </c>
      <c r="X1" s="3" t="s">
        <v>138</v>
      </c>
      <c r="Y1" s="3" t="s">
        <v>139</v>
      </c>
      <c r="Z1" s="3" t="s">
        <v>140</v>
      </c>
      <c r="AA1" s="3" t="s">
        <v>141</v>
      </c>
      <c r="AB1" s="3" t="s">
        <v>142</v>
      </c>
      <c r="AC1" s="3" t="s">
        <v>143</v>
      </c>
      <c r="AD1" s="3" t="s">
        <v>144</v>
      </c>
      <c r="AE1" s="3" t="s">
        <v>145</v>
      </c>
      <c r="AF1" s="3" t="s">
        <v>146</v>
      </c>
    </row>
    <row r="2" spans="1:32" ht="34" customHeight="1">
      <c r="AF2" s="9">
        <f>IF(A2="","",IF(COUNTIF($A$2:$A$301,A2)&gt;1,"线索ID重复",IF(AND(B2&lt;&gt;"",COUNTIF($B$2:$B$301,B2)&gt;1),"合作ID重复：一合作一行",IF(OR(F2="",T2="",U2=""),"待补负责人/状态/录入日","已建档；继续核对证据"))))</f>
        <v/>
      </c>
    </row>
    <row r="3" spans="1:32" ht="34" customHeight="1">
      <c r="AF3" s="9">
        <f>IF(A3="","",IF(COUNTIF($A$2:$A$301,A3)&gt;1,"线索ID重复",IF(AND(B3&lt;&gt;"",COUNTIF($B$2:$B$301,B3)&gt;1),"合作ID重复：一合作一行",IF(OR(F3="",T3="",U3=""),"待补负责人/状态/录入日","已建档；继续核对证据"))))</f>
        <v/>
      </c>
    </row>
    <row r="4" spans="1:32" ht="34" customHeight="1">
      <c r="AF4" s="9">
        <f>IF(A4="","",IF(COUNTIF($A$2:$A$301,A4)&gt;1,"线索ID重复",IF(AND(B4&lt;&gt;"",COUNTIF($B$2:$B$301,B4)&gt;1),"合作ID重复：一合作一行",IF(OR(F4="",T4="",U4=""),"待补负责人/状态/录入日","已建档；继续核对证据"))))</f>
        <v/>
      </c>
    </row>
    <row r="5" spans="1:32" ht="34" customHeight="1">
      <c r="AF5" s="9">
        <f>IF(A5="","",IF(COUNTIF($A$2:$A$301,A5)&gt;1,"线索ID重复",IF(AND(B5&lt;&gt;"",COUNTIF($B$2:$B$301,B5)&gt;1),"合作ID重复：一合作一行",IF(OR(F5="",T5="",U5=""),"待补负责人/状态/录入日","已建档；继续核对证据"))))</f>
        <v/>
      </c>
    </row>
    <row r="6" spans="1:32" ht="34" customHeight="1">
      <c r="AF6" s="9">
        <f>IF(A6="","",IF(COUNTIF($A$2:$A$301,A6)&gt;1,"线索ID重复",IF(AND(B6&lt;&gt;"",COUNTIF($B$2:$B$301,B6)&gt;1),"合作ID重复：一合作一行",IF(OR(F6="",T6="",U6=""),"待补负责人/状态/录入日","已建档；继续核对证据"))))</f>
        <v/>
      </c>
    </row>
    <row r="7" spans="1:32" ht="34" customHeight="1">
      <c r="AF7" s="9">
        <f>IF(A7="","",IF(COUNTIF($A$2:$A$301,A7)&gt;1,"线索ID重复",IF(AND(B7&lt;&gt;"",COUNTIF($B$2:$B$301,B7)&gt;1),"合作ID重复：一合作一行",IF(OR(F7="",T7="",U7=""),"待补负责人/状态/录入日","已建档；继续核对证据"))))</f>
        <v/>
      </c>
    </row>
    <row r="8" spans="1:32" ht="34" customHeight="1">
      <c r="AF8" s="9">
        <f>IF(A8="","",IF(COUNTIF($A$2:$A$301,A8)&gt;1,"线索ID重复",IF(AND(B8&lt;&gt;"",COUNTIF($B$2:$B$301,B8)&gt;1),"合作ID重复：一合作一行",IF(OR(F8="",T8="",U8=""),"待补负责人/状态/录入日","已建档；继续核对证据"))))</f>
        <v/>
      </c>
    </row>
    <row r="9" spans="1:32" ht="34" customHeight="1">
      <c r="AF9" s="9">
        <f>IF(A9="","",IF(COUNTIF($A$2:$A$301,A9)&gt;1,"线索ID重复",IF(AND(B9&lt;&gt;"",COUNTIF($B$2:$B$301,B9)&gt;1),"合作ID重复：一合作一行",IF(OR(F9="",T9="",U9=""),"待补负责人/状态/录入日","已建档；继续核对证据"))))</f>
        <v/>
      </c>
    </row>
    <row r="10" spans="1:32" ht="34" customHeight="1">
      <c r="AF10" s="9">
        <f>IF(A10="","",IF(COUNTIF($A$2:$A$301,A10)&gt;1,"线索ID重复",IF(AND(B10&lt;&gt;"",COUNTIF($B$2:$B$301,B10)&gt;1),"合作ID重复：一合作一行",IF(OR(F10="",T10="",U10=""),"待补负责人/状态/录入日","已建档；继续核对证据"))))</f>
        <v/>
      </c>
    </row>
    <row r="11" spans="1:32" ht="34" customHeight="1">
      <c r="AF11" s="9">
        <f>IF(A11="","",IF(COUNTIF($A$2:$A$301,A11)&gt;1,"线索ID重复",IF(AND(B11&lt;&gt;"",COUNTIF($B$2:$B$301,B11)&gt;1),"合作ID重复：一合作一行",IF(OR(F11="",T11="",U11=""),"待补负责人/状态/录入日","已建档；继续核对证据"))))</f>
        <v/>
      </c>
    </row>
    <row r="12" spans="1:32" ht="34" customHeight="1">
      <c r="AF12" s="9">
        <f>IF(A12="","",IF(COUNTIF($A$2:$A$301,A12)&gt;1,"线索ID重复",IF(AND(B12&lt;&gt;"",COUNTIF($B$2:$B$301,B12)&gt;1),"合作ID重复：一合作一行",IF(OR(F12="",T12="",U12=""),"待补负责人/状态/录入日","已建档；继续核对证据"))))</f>
        <v/>
      </c>
    </row>
    <row r="13" spans="1:32" ht="34" customHeight="1">
      <c r="AF13" s="9">
        <f>IF(A13="","",IF(COUNTIF($A$2:$A$301,A13)&gt;1,"线索ID重复",IF(AND(B13&lt;&gt;"",COUNTIF($B$2:$B$301,B13)&gt;1),"合作ID重复：一合作一行",IF(OR(F13="",T13="",U13=""),"待补负责人/状态/录入日","已建档；继续核对证据"))))</f>
        <v/>
      </c>
    </row>
    <row r="14" spans="1:32" ht="34" customHeight="1">
      <c r="AF14" s="9">
        <f>IF(A14="","",IF(COUNTIF($A$2:$A$301,A14)&gt;1,"线索ID重复",IF(AND(B14&lt;&gt;"",COUNTIF($B$2:$B$301,B14)&gt;1),"合作ID重复：一合作一行",IF(OR(F14="",T14="",U14=""),"待补负责人/状态/录入日","已建档；继续核对证据"))))</f>
        <v/>
      </c>
    </row>
    <row r="15" spans="1:32" ht="34" customHeight="1">
      <c r="AF15" s="9">
        <f>IF(A15="","",IF(COUNTIF($A$2:$A$301,A15)&gt;1,"线索ID重复",IF(AND(B15&lt;&gt;"",COUNTIF($B$2:$B$301,B15)&gt;1),"合作ID重复：一合作一行",IF(OR(F15="",T15="",U15=""),"待补负责人/状态/录入日","已建档；继续核对证据"))))</f>
        <v/>
      </c>
    </row>
    <row r="16" spans="1:32" ht="34" customHeight="1">
      <c r="AF16" s="9">
        <f>IF(A16="","",IF(COUNTIF($A$2:$A$301,A16)&gt;1,"线索ID重复",IF(AND(B16&lt;&gt;"",COUNTIF($B$2:$B$301,B16)&gt;1),"合作ID重复：一合作一行",IF(OR(F16="",T16="",U16=""),"待补负责人/状态/录入日","已建档；继续核对证据"))))</f>
        <v/>
      </c>
    </row>
    <row r="17" spans="32:32" ht="34" customHeight="1">
      <c r="AF17" s="9">
        <f>IF(A17="","",IF(COUNTIF($A$2:$A$301,A17)&gt;1,"线索ID重复",IF(AND(B17&lt;&gt;"",COUNTIF($B$2:$B$301,B17)&gt;1),"合作ID重复：一合作一行",IF(OR(F17="",T17="",U17=""),"待补负责人/状态/录入日","已建档；继续核对证据"))))</f>
        <v/>
      </c>
    </row>
    <row r="18" spans="32:32" ht="34" customHeight="1">
      <c r="AF18" s="9">
        <f>IF(A18="","",IF(COUNTIF($A$2:$A$301,A18)&gt;1,"线索ID重复",IF(AND(B18&lt;&gt;"",COUNTIF($B$2:$B$301,B18)&gt;1),"合作ID重复：一合作一行",IF(OR(F18="",T18="",U18=""),"待补负责人/状态/录入日","已建档；继续核对证据"))))</f>
        <v/>
      </c>
    </row>
    <row r="19" spans="32:32" ht="34" customHeight="1">
      <c r="AF19" s="9">
        <f>IF(A19="","",IF(COUNTIF($A$2:$A$301,A19)&gt;1,"线索ID重复",IF(AND(B19&lt;&gt;"",COUNTIF($B$2:$B$301,B19)&gt;1),"合作ID重复：一合作一行",IF(OR(F19="",T19="",U19=""),"待补负责人/状态/录入日","已建档；继续核对证据"))))</f>
        <v/>
      </c>
    </row>
    <row r="20" spans="32:32" ht="34" customHeight="1">
      <c r="AF20" s="9">
        <f>IF(A20="","",IF(COUNTIF($A$2:$A$301,A20)&gt;1,"线索ID重复",IF(AND(B20&lt;&gt;"",COUNTIF($B$2:$B$301,B20)&gt;1),"合作ID重复：一合作一行",IF(OR(F20="",T20="",U20=""),"待补负责人/状态/录入日","已建档；继续核对证据"))))</f>
        <v/>
      </c>
    </row>
    <row r="21" spans="32:32" ht="34" customHeight="1">
      <c r="AF21" s="9">
        <f>IF(A21="","",IF(COUNTIF($A$2:$A$301,A21)&gt;1,"线索ID重复",IF(AND(B21&lt;&gt;"",COUNTIF($B$2:$B$301,B21)&gt;1),"合作ID重复：一合作一行",IF(OR(F21="",T21="",U21=""),"待补负责人/状态/录入日","已建档；继续核对证据"))))</f>
        <v/>
      </c>
    </row>
    <row r="22" spans="32:32" ht="34" customHeight="1">
      <c r="AF22" s="9">
        <f>IF(A22="","",IF(COUNTIF($A$2:$A$301,A22)&gt;1,"线索ID重复",IF(AND(B22&lt;&gt;"",COUNTIF($B$2:$B$301,B22)&gt;1),"合作ID重复：一合作一行",IF(OR(F22="",T22="",U22=""),"待补负责人/状态/录入日","已建档；继续核对证据"))))</f>
        <v/>
      </c>
    </row>
    <row r="23" spans="32:32" ht="34" customHeight="1">
      <c r="AF23" s="9">
        <f>IF(A23="","",IF(COUNTIF($A$2:$A$301,A23)&gt;1,"线索ID重复",IF(AND(B23&lt;&gt;"",COUNTIF($B$2:$B$301,B23)&gt;1),"合作ID重复：一合作一行",IF(OR(F23="",T23="",U23=""),"待补负责人/状态/录入日","已建档；继续核对证据"))))</f>
        <v/>
      </c>
    </row>
    <row r="24" spans="32:32" ht="34" customHeight="1">
      <c r="AF24" s="9">
        <f>IF(A24="","",IF(COUNTIF($A$2:$A$301,A24)&gt;1,"线索ID重复",IF(AND(B24&lt;&gt;"",COUNTIF($B$2:$B$301,B24)&gt;1),"合作ID重复：一合作一行",IF(OR(F24="",T24="",U24=""),"待补负责人/状态/录入日","已建档；继续核对证据"))))</f>
        <v/>
      </c>
    </row>
    <row r="25" spans="32:32" ht="34" customHeight="1">
      <c r="AF25" s="9">
        <f>IF(A25="","",IF(COUNTIF($A$2:$A$301,A25)&gt;1,"线索ID重复",IF(AND(B25&lt;&gt;"",COUNTIF($B$2:$B$301,B25)&gt;1),"合作ID重复：一合作一行",IF(OR(F25="",T25="",U25=""),"待补负责人/状态/录入日","已建档；继续核对证据"))))</f>
        <v/>
      </c>
    </row>
    <row r="26" spans="32:32" ht="34" customHeight="1">
      <c r="AF26" s="9">
        <f>IF(A26="","",IF(COUNTIF($A$2:$A$301,A26)&gt;1,"线索ID重复",IF(AND(B26&lt;&gt;"",COUNTIF($B$2:$B$301,B26)&gt;1),"合作ID重复：一合作一行",IF(OR(F26="",T26="",U26=""),"待补负责人/状态/录入日","已建档；继续核对证据"))))</f>
        <v/>
      </c>
    </row>
    <row r="27" spans="32:32" ht="34" customHeight="1">
      <c r="AF27" s="9">
        <f>IF(A27="","",IF(COUNTIF($A$2:$A$301,A27)&gt;1,"线索ID重复",IF(AND(B27&lt;&gt;"",COUNTIF($B$2:$B$301,B27)&gt;1),"合作ID重复：一合作一行",IF(OR(F27="",T27="",U27=""),"待补负责人/状态/录入日","已建档；继续核对证据"))))</f>
        <v/>
      </c>
    </row>
    <row r="28" spans="32:32" ht="34" customHeight="1">
      <c r="AF28" s="9">
        <f>IF(A28="","",IF(COUNTIF($A$2:$A$301,A28)&gt;1,"线索ID重复",IF(AND(B28&lt;&gt;"",COUNTIF($B$2:$B$301,B28)&gt;1),"合作ID重复：一合作一行",IF(OR(F28="",T28="",U28=""),"待补负责人/状态/录入日","已建档；继续核对证据"))))</f>
        <v/>
      </c>
    </row>
    <row r="29" spans="32:32" ht="34" customHeight="1">
      <c r="AF29" s="9">
        <f>IF(A29="","",IF(COUNTIF($A$2:$A$301,A29)&gt;1,"线索ID重复",IF(AND(B29&lt;&gt;"",COUNTIF($B$2:$B$301,B29)&gt;1),"合作ID重复：一合作一行",IF(OR(F29="",T29="",U29=""),"待补负责人/状态/录入日","已建档；继续核对证据"))))</f>
        <v/>
      </c>
    </row>
    <row r="30" spans="32:32" ht="34" customHeight="1">
      <c r="AF30" s="9">
        <f>IF(A30="","",IF(COUNTIF($A$2:$A$301,A30)&gt;1,"线索ID重复",IF(AND(B30&lt;&gt;"",COUNTIF($B$2:$B$301,B30)&gt;1),"合作ID重复：一合作一行",IF(OR(F30="",T30="",U30=""),"待补负责人/状态/录入日","已建档；继续核对证据"))))</f>
        <v/>
      </c>
    </row>
    <row r="31" spans="32:32" ht="34" customHeight="1">
      <c r="AF31" s="9">
        <f>IF(A31="","",IF(COUNTIF($A$2:$A$301,A31)&gt;1,"线索ID重复",IF(AND(B31&lt;&gt;"",COUNTIF($B$2:$B$301,B31)&gt;1),"合作ID重复：一合作一行",IF(OR(F31="",T31="",U31=""),"待补负责人/状态/录入日","已建档；继续核对证据"))))</f>
        <v/>
      </c>
    </row>
    <row r="32" spans="32:32" ht="34" customHeight="1">
      <c r="AF32" s="9">
        <f>IF(A32="","",IF(COUNTIF($A$2:$A$301,A32)&gt;1,"线索ID重复",IF(AND(B32&lt;&gt;"",COUNTIF($B$2:$B$301,B32)&gt;1),"合作ID重复：一合作一行",IF(OR(F32="",T32="",U32=""),"待补负责人/状态/录入日","已建档；继续核对证据"))))</f>
        <v/>
      </c>
    </row>
    <row r="33" spans="32:32" ht="34" customHeight="1">
      <c r="AF33" s="9">
        <f>IF(A33="","",IF(COUNTIF($A$2:$A$301,A33)&gt;1,"线索ID重复",IF(AND(B33&lt;&gt;"",COUNTIF($B$2:$B$301,B33)&gt;1),"合作ID重复：一合作一行",IF(OR(F33="",T33="",U33=""),"待补负责人/状态/录入日","已建档；继续核对证据"))))</f>
        <v/>
      </c>
    </row>
    <row r="34" spans="32:32" ht="34" customHeight="1">
      <c r="AF34" s="9">
        <f>IF(A34="","",IF(COUNTIF($A$2:$A$301,A34)&gt;1,"线索ID重复",IF(AND(B34&lt;&gt;"",COUNTIF($B$2:$B$301,B34)&gt;1),"合作ID重复：一合作一行",IF(OR(F34="",T34="",U34=""),"待补负责人/状态/录入日","已建档；继续核对证据"))))</f>
        <v/>
      </c>
    </row>
    <row r="35" spans="32:32" ht="34" customHeight="1">
      <c r="AF35" s="9">
        <f>IF(A35="","",IF(COUNTIF($A$2:$A$301,A35)&gt;1,"线索ID重复",IF(AND(B35&lt;&gt;"",COUNTIF($B$2:$B$301,B35)&gt;1),"合作ID重复：一合作一行",IF(OR(F35="",T35="",U35=""),"待补负责人/状态/录入日","已建档；继续核对证据"))))</f>
        <v/>
      </c>
    </row>
    <row r="36" spans="32:32" ht="34" customHeight="1">
      <c r="AF36" s="9">
        <f>IF(A36="","",IF(COUNTIF($A$2:$A$301,A36)&gt;1,"线索ID重复",IF(AND(B36&lt;&gt;"",COUNTIF($B$2:$B$301,B36)&gt;1),"合作ID重复：一合作一行",IF(OR(F36="",T36="",U36=""),"待补负责人/状态/录入日","已建档；继续核对证据"))))</f>
        <v/>
      </c>
    </row>
    <row r="37" spans="32:32" ht="34" customHeight="1">
      <c r="AF37" s="9">
        <f>IF(A37="","",IF(COUNTIF($A$2:$A$301,A37)&gt;1,"线索ID重复",IF(AND(B37&lt;&gt;"",COUNTIF($B$2:$B$301,B37)&gt;1),"合作ID重复：一合作一行",IF(OR(F37="",T37="",U37=""),"待补负责人/状态/录入日","已建档；继续核对证据"))))</f>
        <v/>
      </c>
    </row>
    <row r="38" spans="32:32" ht="34" customHeight="1">
      <c r="AF38" s="9">
        <f>IF(A38="","",IF(COUNTIF($A$2:$A$301,A38)&gt;1,"线索ID重复",IF(AND(B38&lt;&gt;"",COUNTIF($B$2:$B$301,B38)&gt;1),"合作ID重复：一合作一行",IF(OR(F38="",T38="",U38=""),"待补负责人/状态/录入日","已建档；继续核对证据"))))</f>
        <v/>
      </c>
    </row>
    <row r="39" spans="32:32" ht="34" customHeight="1">
      <c r="AF39" s="9">
        <f>IF(A39="","",IF(COUNTIF($A$2:$A$301,A39)&gt;1,"线索ID重复",IF(AND(B39&lt;&gt;"",COUNTIF($B$2:$B$301,B39)&gt;1),"合作ID重复：一合作一行",IF(OR(F39="",T39="",U39=""),"待补负责人/状态/录入日","已建档；继续核对证据"))))</f>
        <v/>
      </c>
    </row>
    <row r="40" spans="32:32" ht="34" customHeight="1">
      <c r="AF40" s="9">
        <f>IF(A40="","",IF(COUNTIF($A$2:$A$301,A40)&gt;1,"线索ID重复",IF(AND(B40&lt;&gt;"",COUNTIF($B$2:$B$301,B40)&gt;1),"合作ID重复：一合作一行",IF(OR(F40="",T40="",U40=""),"待补负责人/状态/录入日","已建档；继续核对证据"))))</f>
        <v/>
      </c>
    </row>
    <row r="41" spans="32:32" ht="34" customHeight="1">
      <c r="AF41" s="9">
        <f>IF(A41="","",IF(COUNTIF($A$2:$A$301,A41)&gt;1,"线索ID重复",IF(AND(B41&lt;&gt;"",COUNTIF($B$2:$B$301,B41)&gt;1),"合作ID重复：一合作一行",IF(OR(F41="",T41="",U41=""),"待补负责人/状态/录入日","已建档；继续核对证据"))))</f>
        <v/>
      </c>
    </row>
    <row r="42" spans="32:32" ht="34" customHeight="1">
      <c r="AF42" s="9">
        <f>IF(A42="","",IF(COUNTIF($A$2:$A$301,A42)&gt;1,"线索ID重复",IF(AND(B42&lt;&gt;"",COUNTIF($B$2:$B$301,B42)&gt;1),"合作ID重复：一合作一行",IF(OR(F42="",T42="",U42=""),"待补负责人/状态/录入日","已建档；继续核对证据"))))</f>
        <v/>
      </c>
    </row>
    <row r="43" spans="32:32" ht="34" customHeight="1">
      <c r="AF43" s="9">
        <f>IF(A43="","",IF(COUNTIF($A$2:$A$301,A43)&gt;1,"线索ID重复",IF(AND(B43&lt;&gt;"",COUNTIF($B$2:$B$301,B43)&gt;1),"合作ID重复：一合作一行",IF(OR(F43="",T43="",U43=""),"待补负责人/状态/录入日","已建档；继续核对证据"))))</f>
        <v/>
      </c>
    </row>
    <row r="44" spans="32:32" ht="34" customHeight="1">
      <c r="AF44" s="9">
        <f>IF(A44="","",IF(COUNTIF($A$2:$A$301,A44)&gt;1,"线索ID重复",IF(AND(B44&lt;&gt;"",COUNTIF($B$2:$B$301,B44)&gt;1),"合作ID重复：一合作一行",IF(OR(F44="",T44="",U44=""),"待补负责人/状态/录入日","已建档；继续核对证据"))))</f>
        <v/>
      </c>
    </row>
    <row r="45" spans="32:32" ht="34" customHeight="1">
      <c r="AF45" s="9">
        <f>IF(A45="","",IF(COUNTIF($A$2:$A$301,A45)&gt;1,"线索ID重复",IF(AND(B45&lt;&gt;"",COUNTIF($B$2:$B$301,B45)&gt;1),"合作ID重复：一合作一行",IF(OR(F45="",T45="",U45=""),"待补负责人/状态/录入日","已建档；继续核对证据"))))</f>
        <v/>
      </c>
    </row>
    <row r="46" spans="32:32" ht="34" customHeight="1">
      <c r="AF46" s="9">
        <f>IF(A46="","",IF(COUNTIF($A$2:$A$301,A46)&gt;1,"线索ID重复",IF(AND(B46&lt;&gt;"",COUNTIF($B$2:$B$301,B46)&gt;1),"合作ID重复：一合作一行",IF(OR(F46="",T46="",U46=""),"待补负责人/状态/录入日","已建档；继续核对证据"))))</f>
        <v/>
      </c>
    </row>
    <row r="47" spans="32:32" ht="34" customHeight="1">
      <c r="AF47" s="9">
        <f>IF(A47="","",IF(COUNTIF($A$2:$A$301,A47)&gt;1,"线索ID重复",IF(AND(B47&lt;&gt;"",COUNTIF($B$2:$B$301,B47)&gt;1),"合作ID重复：一合作一行",IF(OR(F47="",T47="",U47=""),"待补负责人/状态/录入日","已建档；继续核对证据"))))</f>
        <v/>
      </c>
    </row>
    <row r="48" spans="32:32" ht="34" customHeight="1">
      <c r="AF48" s="9">
        <f>IF(A48="","",IF(COUNTIF($A$2:$A$301,A48)&gt;1,"线索ID重复",IF(AND(B48&lt;&gt;"",COUNTIF($B$2:$B$301,B48)&gt;1),"合作ID重复：一合作一行",IF(OR(F48="",T48="",U48=""),"待补负责人/状态/录入日","已建档；继续核对证据"))))</f>
        <v/>
      </c>
    </row>
    <row r="49" spans="32:32" ht="34" customHeight="1">
      <c r="AF49" s="9">
        <f>IF(A49="","",IF(COUNTIF($A$2:$A$301,A49)&gt;1,"线索ID重复",IF(AND(B49&lt;&gt;"",COUNTIF($B$2:$B$301,B49)&gt;1),"合作ID重复：一合作一行",IF(OR(F49="",T49="",U49=""),"待补负责人/状态/录入日","已建档；继续核对证据"))))</f>
        <v/>
      </c>
    </row>
    <row r="50" spans="32:32" ht="34" customHeight="1">
      <c r="AF50" s="9">
        <f>IF(A50="","",IF(COUNTIF($A$2:$A$301,A50)&gt;1,"线索ID重复",IF(AND(B50&lt;&gt;"",COUNTIF($B$2:$B$301,B50)&gt;1),"合作ID重复：一合作一行",IF(OR(F50="",T50="",U50=""),"待补负责人/状态/录入日","已建档；继续核对证据"))))</f>
        <v/>
      </c>
    </row>
    <row r="51" spans="32:32" ht="34" customHeight="1">
      <c r="AF51" s="9">
        <f>IF(A51="","",IF(COUNTIF($A$2:$A$301,A51)&gt;1,"线索ID重复",IF(AND(B51&lt;&gt;"",COUNTIF($B$2:$B$301,B51)&gt;1),"合作ID重复：一合作一行",IF(OR(F51="",T51="",U51=""),"待补负责人/状态/录入日","已建档；继续核对证据"))))</f>
        <v/>
      </c>
    </row>
    <row r="52" spans="32:32" ht="34" customHeight="1">
      <c r="AF52" s="9">
        <f>IF(A52="","",IF(COUNTIF($A$2:$A$301,A52)&gt;1,"线索ID重复",IF(AND(B52&lt;&gt;"",COUNTIF($B$2:$B$301,B52)&gt;1),"合作ID重复：一合作一行",IF(OR(F52="",T52="",U52=""),"待补负责人/状态/录入日","已建档；继续核对证据"))))</f>
        <v/>
      </c>
    </row>
    <row r="53" spans="32:32" ht="34" customHeight="1">
      <c r="AF53" s="9">
        <f>IF(A53="","",IF(COUNTIF($A$2:$A$301,A53)&gt;1,"线索ID重复",IF(AND(B53&lt;&gt;"",COUNTIF($B$2:$B$301,B53)&gt;1),"合作ID重复：一合作一行",IF(OR(F53="",T53="",U53=""),"待补负责人/状态/录入日","已建档；继续核对证据"))))</f>
        <v/>
      </c>
    </row>
    <row r="54" spans="32:32" ht="34" customHeight="1">
      <c r="AF54" s="9">
        <f>IF(A54="","",IF(COUNTIF($A$2:$A$301,A54)&gt;1,"线索ID重复",IF(AND(B54&lt;&gt;"",COUNTIF($B$2:$B$301,B54)&gt;1),"合作ID重复：一合作一行",IF(OR(F54="",T54="",U54=""),"待补负责人/状态/录入日","已建档；继续核对证据"))))</f>
        <v/>
      </c>
    </row>
    <row r="55" spans="32:32" ht="34" customHeight="1">
      <c r="AF55" s="9">
        <f>IF(A55="","",IF(COUNTIF($A$2:$A$301,A55)&gt;1,"线索ID重复",IF(AND(B55&lt;&gt;"",COUNTIF($B$2:$B$301,B55)&gt;1),"合作ID重复：一合作一行",IF(OR(F55="",T55="",U55=""),"待补负责人/状态/录入日","已建档；继续核对证据"))))</f>
        <v/>
      </c>
    </row>
    <row r="56" spans="32:32" ht="34" customHeight="1">
      <c r="AF56" s="9">
        <f>IF(A56="","",IF(COUNTIF($A$2:$A$301,A56)&gt;1,"线索ID重复",IF(AND(B56&lt;&gt;"",COUNTIF($B$2:$B$301,B56)&gt;1),"合作ID重复：一合作一行",IF(OR(F56="",T56="",U56=""),"待补负责人/状态/录入日","已建档；继续核对证据"))))</f>
        <v/>
      </c>
    </row>
    <row r="57" spans="32:32" ht="34" customHeight="1">
      <c r="AF57" s="9">
        <f>IF(A57="","",IF(COUNTIF($A$2:$A$301,A57)&gt;1,"线索ID重复",IF(AND(B57&lt;&gt;"",COUNTIF($B$2:$B$301,B57)&gt;1),"合作ID重复：一合作一行",IF(OR(F57="",T57="",U57=""),"待补负责人/状态/录入日","已建档；继续核对证据"))))</f>
        <v/>
      </c>
    </row>
    <row r="58" spans="32:32" ht="34" customHeight="1">
      <c r="AF58" s="9">
        <f>IF(A58="","",IF(COUNTIF($A$2:$A$301,A58)&gt;1,"线索ID重复",IF(AND(B58&lt;&gt;"",COUNTIF($B$2:$B$301,B58)&gt;1),"合作ID重复：一合作一行",IF(OR(F58="",T58="",U58=""),"待补负责人/状态/录入日","已建档；继续核对证据"))))</f>
        <v/>
      </c>
    </row>
    <row r="59" spans="32:32" ht="34" customHeight="1">
      <c r="AF59" s="9">
        <f>IF(A59="","",IF(COUNTIF($A$2:$A$301,A59)&gt;1,"线索ID重复",IF(AND(B59&lt;&gt;"",COUNTIF($B$2:$B$301,B59)&gt;1),"合作ID重复：一合作一行",IF(OR(F59="",T59="",U59=""),"待补负责人/状态/录入日","已建档；继续核对证据"))))</f>
        <v/>
      </c>
    </row>
    <row r="60" spans="32:32" ht="34" customHeight="1">
      <c r="AF60" s="9">
        <f>IF(A60="","",IF(COUNTIF($A$2:$A$301,A60)&gt;1,"线索ID重复",IF(AND(B60&lt;&gt;"",COUNTIF($B$2:$B$301,B60)&gt;1),"合作ID重复：一合作一行",IF(OR(F60="",T60="",U60=""),"待补负责人/状态/录入日","已建档；继续核对证据"))))</f>
        <v/>
      </c>
    </row>
    <row r="61" spans="32:32" ht="34" customHeight="1">
      <c r="AF61" s="9">
        <f>IF(A61="","",IF(COUNTIF($A$2:$A$301,A61)&gt;1,"线索ID重复",IF(AND(B61&lt;&gt;"",COUNTIF($B$2:$B$301,B61)&gt;1),"合作ID重复：一合作一行",IF(OR(F61="",T61="",U61=""),"待补负责人/状态/录入日","已建档；继续核对证据"))))</f>
        <v/>
      </c>
    </row>
    <row r="62" spans="32:32" ht="34" customHeight="1">
      <c r="AF62" s="9">
        <f>IF(A62="","",IF(COUNTIF($A$2:$A$301,A62)&gt;1,"线索ID重复",IF(AND(B62&lt;&gt;"",COUNTIF($B$2:$B$301,B62)&gt;1),"合作ID重复：一合作一行",IF(OR(F62="",T62="",U62=""),"待补负责人/状态/录入日","已建档；继续核对证据"))))</f>
        <v/>
      </c>
    </row>
    <row r="63" spans="32:32" ht="34" customHeight="1">
      <c r="AF63" s="9">
        <f>IF(A63="","",IF(COUNTIF($A$2:$A$301,A63)&gt;1,"线索ID重复",IF(AND(B63&lt;&gt;"",COUNTIF($B$2:$B$301,B63)&gt;1),"合作ID重复：一合作一行",IF(OR(F63="",T63="",U63=""),"待补负责人/状态/录入日","已建档；继续核对证据"))))</f>
        <v/>
      </c>
    </row>
    <row r="64" spans="32:32" ht="34" customHeight="1">
      <c r="AF64" s="9">
        <f>IF(A64="","",IF(COUNTIF($A$2:$A$301,A64)&gt;1,"线索ID重复",IF(AND(B64&lt;&gt;"",COUNTIF($B$2:$B$301,B64)&gt;1),"合作ID重复：一合作一行",IF(OR(F64="",T64="",U64=""),"待补负责人/状态/录入日","已建档；继续核对证据"))))</f>
        <v/>
      </c>
    </row>
    <row r="65" spans="32:32" ht="34" customHeight="1">
      <c r="AF65" s="9">
        <f>IF(A65="","",IF(COUNTIF($A$2:$A$301,A65)&gt;1,"线索ID重复",IF(AND(B65&lt;&gt;"",COUNTIF($B$2:$B$301,B65)&gt;1),"合作ID重复：一合作一行",IF(OR(F65="",T65="",U65=""),"待补负责人/状态/录入日","已建档；继续核对证据"))))</f>
        <v/>
      </c>
    </row>
    <row r="66" spans="32:32" ht="34" customHeight="1">
      <c r="AF66" s="9">
        <f>IF(A66="","",IF(COUNTIF($A$2:$A$301,A66)&gt;1,"线索ID重复",IF(AND(B66&lt;&gt;"",COUNTIF($B$2:$B$301,B66)&gt;1),"合作ID重复：一合作一行",IF(OR(F66="",T66="",U66=""),"待补负责人/状态/录入日","已建档；继续核对证据"))))</f>
        <v/>
      </c>
    </row>
    <row r="67" spans="32:32" ht="34" customHeight="1">
      <c r="AF67" s="9">
        <f>IF(A67="","",IF(COUNTIF($A$2:$A$301,A67)&gt;1,"线索ID重复",IF(AND(B67&lt;&gt;"",COUNTIF($B$2:$B$301,B67)&gt;1),"合作ID重复：一合作一行",IF(OR(F67="",T67="",U67=""),"待补负责人/状态/录入日","已建档；继续核对证据"))))</f>
        <v/>
      </c>
    </row>
    <row r="68" spans="32:32" ht="34" customHeight="1">
      <c r="AF68" s="9">
        <f>IF(A68="","",IF(COUNTIF($A$2:$A$301,A68)&gt;1,"线索ID重复",IF(AND(B68&lt;&gt;"",COUNTIF($B$2:$B$301,B68)&gt;1),"合作ID重复：一合作一行",IF(OR(F68="",T68="",U68=""),"待补负责人/状态/录入日","已建档；继续核对证据"))))</f>
        <v/>
      </c>
    </row>
    <row r="69" spans="32:32" ht="34" customHeight="1">
      <c r="AF69" s="9">
        <f>IF(A69="","",IF(COUNTIF($A$2:$A$301,A69)&gt;1,"线索ID重复",IF(AND(B69&lt;&gt;"",COUNTIF($B$2:$B$301,B69)&gt;1),"合作ID重复：一合作一行",IF(OR(F69="",T69="",U69=""),"待补负责人/状态/录入日","已建档；继续核对证据"))))</f>
        <v/>
      </c>
    </row>
    <row r="70" spans="32:32" ht="34" customHeight="1">
      <c r="AF70" s="9">
        <f>IF(A70="","",IF(COUNTIF($A$2:$A$301,A70)&gt;1,"线索ID重复",IF(AND(B70&lt;&gt;"",COUNTIF($B$2:$B$301,B70)&gt;1),"合作ID重复：一合作一行",IF(OR(F70="",T70="",U70=""),"待补负责人/状态/录入日","已建档；继续核对证据"))))</f>
        <v/>
      </c>
    </row>
    <row r="71" spans="32:32" ht="34" customHeight="1">
      <c r="AF71" s="9">
        <f>IF(A71="","",IF(COUNTIF($A$2:$A$301,A71)&gt;1,"线索ID重复",IF(AND(B71&lt;&gt;"",COUNTIF($B$2:$B$301,B71)&gt;1),"合作ID重复：一合作一行",IF(OR(F71="",T71="",U71=""),"待补负责人/状态/录入日","已建档；继续核对证据"))))</f>
        <v/>
      </c>
    </row>
    <row r="72" spans="32:32" ht="34" customHeight="1">
      <c r="AF72" s="9">
        <f>IF(A72="","",IF(COUNTIF($A$2:$A$301,A72)&gt;1,"线索ID重复",IF(AND(B72&lt;&gt;"",COUNTIF($B$2:$B$301,B72)&gt;1),"合作ID重复：一合作一行",IF(OR(F72="",T72="",U72=""),"待补负责人/状态/录入日","已建档；继续核对证据"))))</f>
        <v/>
      </c>
    </row>
    <row r="73" spans="32:32" ht="34" customHeight="1">
      <c r="AF73" s="9">
        <f>IF(A73="","",IF(COUNTIF($A$2:$A$301,A73)&gt;1,"线索ID重复",IF(AND(B73&lt;&gt;"",COUNTIF($B$2:$B$301,B73)&gt;1),"合作ID重复：一合作一行",IF(OR(F73="",T73="",U73=""),"待补负责人/状态/录入日","已建档；继续核对证据"))))</f>
        <v/>
      </c>
    </row>
    <row r="74" spans="32:32" ht="34" customHeight="1">
      <c r="AF74" s="9">
        <f>IF(A74="","",IF(COUNTIF($A$2:$A$301,A74)&gt;1,"线索ID重复",IF(AND(B74&lt;&gt;"",COUNTIF($B$2:$B$301,B74)&gt;1),"合作ID重复：一合作一行",IF(OR(F74="",T74="",U74=""),"待补负责人/状态/录入日","已建档；继续核对证据"))))</f>
        <v/>
      </c>
    </row>
    <row r="75" spans="32:32" ht="34" customHeight="1">
      <c r="AF75" s="9">
        <f>IF(A75="","",IF(COUNTIF($A$2:$A$301,A75)&gt;1,"线索ID重复",IF(AND(B75&lt;&gt;"",COUNTIF($B$2:$B$301,B75)&gt;1),"合作ID重复：一合作一行",IF(OR(F75="",T75="",U75=""),"待补负责人/状态/录入日","已建档；继续核对证据"))))</f>
        <v/>
      </c>
    </row>
    <row r="76" spans="32:32" ht="34" customHeight="1">
      <c r="AF76" s="9">
        <f>IF(A76="","",IF(COUNTIF($A$2:$A$301,A76)&gt;1,"线索ID重复",IF(AND(B76&lt;&gt;"",COUNTIF($B$2:$B$301,B76)&gt;1),"合作ID重复：一合作一行",IF(OR(F76="",T76="",U76=""),"待补负责人/状态/录入日","已建档；继续核对证据"))))</f>
        <v/>
      </c>
    </row>
    <row r="77" spans="32:32" ht="34" customHeight="1">
      <c r="AF77" s="9">
        <f>IF(A77="","",IF(COUNTIF($A$2:$A$301,A77)&gt;1,"线索ID重复",IF(AND(B77&lt;&gt;"",COUNTIF($B$2:$B$301,B77)&gt;1),"合作ID重复：一合作一行",IF(OR(F77="",T77="",U77=""),"待补负责人/状态/录入日","已建档；继续核对证据"))))</f>
        <v/>
      </c>
    </row>
    <row r="78" spans="32:32" ht="34" customHeight="1">
      <c r="AF78" s="9">
        <f>IF(A78="","",IF(COUNTIF($A$2:$A$301,A78)&gt;1,"线索ID重复",IF(AND(B78&lt;&gt;"",COUNTIF($B$2:$B$301,B78)&gt;1),"合作ID重复：一合作一行",IF(OR(F78="",T78="",U78=""),"待补负责人/状态/录入日","已建档；继续核对证据"))))</f>
        <v/>
      </c>
    </row>
    <row r="79" spans="32:32" ht="34" customHeight="1">
      <c r="AF79" s="9">
        <f>IF(A79="","",IF(COUNTIF($A$2:$A$301,A79)&gt;1,"线索ID重复",IF(AND(B79&lt;&gt;"",COUNTIF($B$2:$B$301,B79)&gt;1),"合作ID重复：一合作一行",IF(OR(F79="",T79="",U79=""),"待补负责人/状态/录入日","已建档；继续核对证据"))))</f>
        <v/>
      </c>
    </row>
    <row r="80" spans="32:32" ht="34" customHeight="1">
      <c r="AF80" s="9">
        <f>IF(A80="","",IF(COUNTIF($A$2:$A$301,A80)&gt;1,"线索ID重复",IF(AND(B80&lt;&gt;"",COUNTIF($B$2:$B$301,B80)&gt;1),"合作ID重复：一合作一行",IF(OR(F80="",T80="",U80=""),"待补负责人/状态/录入日","已建档；继续核对证据"))))</f>
        <v/>
      </c>
    </row>
    <row r="81" spans="32:32" ht="34" customHeight="1">
      <c r="AF81" s="9">
        <f>IF(A81="","",IF(COUNTIF($A$2:$A$301,A81)&gt;1,"线索ID重复",IF(AND(B81&lt;&gt;"",COUNTIF($B$2:$B$301,B81)&gt;1),"合作ID重复：一合作一行",IF(OR(F81="",T81="",U81=""),"待补负责人/状态/录入日","已建档；继续核对证据"))))</f>
        <v/>
      </c>
    </row>
    <row r="82" spans="32:32" ht="34" customHeight="1">
      <c r="AF82" s="9">
        <f>IF(A82="","",IF(COUNTIF($A$2:$A$301,A82)&gt;1,"线索ID重复",IF(AND(B82&lt;&gt;"",COUNTIF($B$2:$B$301,B82)&gt;1),"合作ID重复：一合作一行",IF(OR(F82="",T82="",U82=""),"待补负责人/状态/录入日","已建档；继续核对证据"))))</f>
        <v/>
      </c>
    </row>
    <row r="83" spans="32:32" ht="34" customHeight="1">
      <c r="AF83" s="9">
        <f>IF(A83="","",IF(COUNTIF($A$2:$A$301,A83)&gt;1,"线索ID重复",IF(AND(B83&lt;&gt;"",COUNTIF($B$2:$B$301,B83)&gt;1),"合作ID重复：一合作一行",IF(OR(F83="",T83="",U83=""),"待补负责人/状态/录入日","已建档；继续核对证据"))))</f>
        <v/>
      </c>
    </row>
    <row r="84" spans="32:32" ht="34" customHeight="1">
      <c r="AF84" s="9">
        <f>IF(A84="","",IF(COUNTIF($A$2:$A$301,A84)&gt;1,"线索ID重复",IF(AND(B84&lt;&gt;"",COUNTIF($B$2:$B$301,B84)&gt;1),"合作ID重复：一合作一行",IF(OR(F84="",T84="",U84=""),"待补负责人/状态/录入日","已建档；继续核对证据"))))</f>
        <v/>
      </c>
    </row>
    <row r="85" spans="32:32" ht="34" customHeight="1">
      <c r="AF85" s="9">
        <f>IF(A85="","",IF(COUNTIF($A$2:$A$301,A85)&gt;1,"线索ID重复",IF(AND(B85&lt;&gt;"",COUNTIF($B$2:$B$301,B85)&gt;1),"合作ID重复：一合作一行",IF(OR(F85="",T85="",U85=""),"待补负责人/状态/录入日","已建档；继续核对证据"))))</f>
        <v/>
      </c>
    </row>
    <row r="86" spans="32:32" ht="34" customHeight="1">
      <c r="AF86" s="9">
        <f>IF(A86="","",IF(COUNTIF($A$2:$A$301,A86)&gt;1,"线索ID重复",IF(AND(B86&lt;&gt;"",COUNTIF($B$2:$B$301,B86)&gt;1),"合作ID重复：一合作一行",IF(OR(F86="",T86="",U86=""),"待补负责人/状态/录入日","已建档；继续核对证据"))))</f>
        <v/>
      </c>
    </row>
    <row r="87" spans="32:32" ht="34" customHeight="1">
      <c r="AF87" s="9">
        <f>IF(A87="","",IF(COUNTIF($A$2:$A$301,A87)&gt;1,"线索ID重复",IF(AND(B87&lt;&gt;"",COUNTIF($B$2:$B$301,B87)&gt;1),"合作ID重复：一合作一行",IF(OR(F87="",T87="",U87=""),"待补负责人/状态/录入日","已建档；继续核对证据"))))</f>
        <v/>
      </c>
    </row>
    <row r="88" spans="32:32" ht="34" customHeight="1">
      <c r="AF88" s="9">
        <f>IF(A88="","",IF(COUNTIF($A$2:$A$301,A88)&gt;1,"线索ID重复",IF(AND(B88&lt;&gt;"",COUNTIF($B$2:$B$301,B88)&gt;1),"合作ID重复：一合作一行",IF(OR(F88="",T88="",U88=""),"待补负责人/状态/录入日","已建档；继续核对证据"))))</f>
        <v/>
      </c>
    </row>
    <row r="89" spans="32:32" ht="34" customHeight="1">
      <c r="AF89" s="9">
        <f>IF(A89="","",IF(COUNTIF($A$2:$A$301,A89)&gt;1,"线索ID重复",IF(AND(B89&lt;&gt;"",COUNTIF($B$2:$B$301,B89)&gt;1),"合作ID重复：一合作一行",IF(OR(F89="",T89="",U89=""),"待补负责人/状态/录入日","已建档；继续核对证据"))))</f>
        <v/>
      </c>
    </row>
    <row r="90" spans="32:32" ht="34" customHeight="1">
      <c r="AF90" s="9">
        <f>IF(A90="","",IF(COUNTIF($A$2:$A$301,A90)&gt;1,"线索ID重复",IF(AND(B90&lt;&gt;"",COUNTIF($B$2:$B$301,B90)&gt;1),"合作ID重复：一合作一行",IF(OR(F90="",T90="",U90=""),"待补负责人/状态/录入日","已建档；继续核对证据"))))</f>
        <v/>
      </c>
    </row>
    <row r="91" spans="32:32" ht="34" customHeight="1">
      <c r="AF91" s="9">
        <f>IF(A91="","",IF(COUNTIF($A$2:$A$301,A91)&gt;1,"线索ID重复",IF(AND(B91&lt;&gt;"",COUNTIF($B$2:$B$301,B91)&gt;1),"合作ID重复：一合作一行",IF(OR(F91="",T91="",U91=""),"待补负责人/状态/录入日","已建档；继续核对证据"))))</f>
        <v/>
      </c>
    </row>
    <row r="92" spans="32:32" ht="34" customHeight="1">
      <c r="AF92" s="9">
        <f>IF(A92="","",IF(COUNTIF($A$2:$A$301,A92)&gt;1,"线索ID重复",IF(AND(B92&lt;&gt;"",COUNTIF($B$2:$B$301,B92)&gt;1),"合作ID重复：一合作一行",IF(OR(F92="",T92="",U92=""),"待补负责人/状态/录入日","已建档；继续核对证据"))))</f>
        <v/>
      </c>
    </row>
    <row r="93" spans="32:32" ht="34" customHeight="1">
      <c r="AF93" s="9">
        <f>IF(A93="","",IF(COUNTIF($A$2:$A$301,A93)&gt;1,"线索ID重复",IF(AND(B93&lt;&gt;"",COUNTIF($B$2:$B$301,B93)&gt;1),"合作ID重复：一合作一行",IF(OR(F93="",T93="",U93=""),"待补负责人/状态/录入日","已建档；继续核对证据"))))</f>
        <v/>
      </c>
    </row>
    <row r="94" spans="32:32" ht="34" customHeight="1">
      <c r="AF94" s="9">
        <f>IF(A94="","",IF(COUNTIF($A$2:$A$301,A94)&gt;1,"线索ID重复",IF(AND(B94&lt;&gt;"",COUNTIF($B$2:$B$301,B94)&gt;1),"合作ID重复：一合作一行",IF(OR(F94="",T94="",U94=""),"待补负责人/状态/录入日","已建档；继续核对证据"))))</f>
        <v/>
      </c>
    </row>
    <row r="95" spans="32:32" ht="34" customHeight="1">
      <c r="AF95" s="9">
        <f>IF(A95="","",IF(COUNTIF($A$2:$A$301,A95)&gt;1,"线索ID重复",IF(AND(B95&lt;&gt;"",COUNTIF($B$2:$B$301,B95)&gt;1),"合作ID重复：一合作一行",IF(OR(F95="",T95="",U95=""),"待补负责人/状态/录入日","已建档；继续核对证据"))))</f>
        <v/>
      </c>
    </row>
    <row r="96" spans="32:32" ht="34" customHeight="1">
      <c r="AF96" s="9">
        <f>IF(A96="","",IF(COUNTIF($A$2:$A$301,A96)&gt;1,"线索ID重复",IF(AND(B96&lt;&gt;"",COUNTIF($B$2:$B$301,B96)&gt;1),"合作ID重复：一合作一行",IF(OR(F96="",T96="",U96=""),"待补负责人/状态/录入日","已建档；继续核对证据"))))</f>
        <v/>
      </c>
    </row>
    <row r="97" spans="32:32" ht="34" customHeight="1">
      <c r="AF97" s="9">
        <f>IF(A97="","",IF(COUNTIF($A$2:$A$301,A97)&gt;1,"线索ID重复",IF(AND(B97&lt;&gt;"",COUNTIF($B$2:$B$301,B97)&gt;1),"合作ID重复：一合作一行",IF(OR(F97="",T97="",U97=""),"待补负责人/状态/录入日","已建档；继续核对证据"))))</f>
        <v/>
      </c>
    </row>
    <row r="98" spans="32:32" ht="34" customHeight="1">
      <c r="AF98" s="9">
        <f>IF(A98="","",IF(COUNTIF($A$2:$A$301,A98)&gt;1,"线索ID重复",IF(AND(B98&lt;&gt;"",COUNTIF($B$2:$B$301,B98)&gt;1),"合作ID重复：一合作一行",IF(OR(F98="",T98="",U98=""),"待补负责人/状态/录入日","已建档；继续核对证据"))))</f>
        <v/>
      </c>
    </row>
    <row r="99" spans="32:32" ht="34" customHeight="1">
      <c r="AF99" s="9">
        <f>IF(A99="","",IF(COUNTIF($A$2:$A$301,A99)&gt;1,"线索ID重复",IF(AND(B99&lt;&gt;"",COUNTIF($B$2:$B$301,B99)&gt;1),"合作ID重复：一合作一行",IF(OR(F99="",T99="",U99=""),"待补负责人/状态/录入日","已建档；继续核对证据"))))</f>
        <v/>
      </c>
    </row>
    <row r="100" spans="32:32" ht="34" customHeight="1">
      <c r="AF100" s="9">
        <f>IF(A100="","",IF(COUNTIF($A$2:$A$301,A100)&gt;1,"线索ID重复",IF(AND(B100&lt;&gt;"",COUNTIF($B$2:$B$301,B100)&gt;1),"合作ID重复：一合作一行",IF(OR(F100="",T100="",U100=""),"待补负责人/状态/录入日","已建档；继续核对证据"))))</f>
        <v/>
      </c>
    </row>
    <row r="101" spans="32:32" ht="34" customHeight="1">
      <c r="AF101" s="9">
        <f>IF(A101="","",IF(COUNTIF($A$2:$A$301,A101)&gt;1,"线索ID重复",IF(AND(B101&lt;&gt;"",COUNTIF($B$2:$B$301,B101)&gt;1),"合作ID重复：一合作一行",IF(OR(F101="",T101="",U101=""),"待补负责人/状态/录入日","已建档；继续核对证据"))))</f>
        <v/>
      </c>
    </row>
    <row r="102" spans="32:32" ht="34" customHeight="1">
      <c r="AF102" s="9">
        <f>IF(A102="","",IF(COUNTIF($A$2:$A$301,A102)&gt;1,"线索ID重复",IF(AND(B102&lt;&gt;"",COUNTIF($B$2:$B$301,B102)&gt;1),"合作ID重复：一合作一行",IF(OR(F102="",T102="",U102=""),"待补负责人/状态/录入日","已建档；继续核对证据"))))</f>
        <v/>
      </c>
    </row>
    <row r="103" spans="32:32" ht="34" customHeight="1">
      <c r="AF103" s="9">
        <f>IF(A103="","",IF(COUNTIF($A$2:$A$301,A103)&gt;1,"线索ID重复",IF(AND(B103&lt;&gt;"",COUNTIF($B$2:$B$301,B103)&gt;1),"合作ID重复：一合作一行",IF(OR(F103="",T103="",U103=""),"待补负责人/状态/录入日","已建档；继续核对证据"))))</f>
        <v/>
      </c>
    </row>
    <row r="104" spans="32:32" ht="34" customHeight="1">
      <c r="AF104" s="9">
        <f>IF(A104="","",IF(COUNTIF($A$2:$A$301,A104)&gt;1,"线索ID重复",IF(AND(B104&lt;&gt;"",COUNTIF($B$2:$B$301,B104)&gt;1),"合作ID重复：一合作一行",IF(OR(F104="",T104="",U104=""),"待补负责人/状态/录入日","已建档；继续核对证据"))))</f>
        <v/>
      </c>
    </row>
    <row r="105" spans="32:32" ht="34" customHeight="1">
      <c r="AF105" s="9">
        <f>IF(A105="","",IF(COUNTIF($A$2:$A$301,A105)&gt;1,"线索ID重复",IF(AND(B105&lt;&gt;"",COUNTIF($B$2:$B$301,B105)&gt;1),"合作ID重复：一合作一行",IF(OR(F105="",T105="",U105=""),"待补负责人/状态/录入日","已建档；继续核对证据"))))</f>
        <v/>
      </c>
    </row>
    <row r="106" spans="32:32" ht="34" customHeight="1">
      <c r="AF106" s="9">
        <f>IF(A106="","",IF(COUNTIF($A$2:$A$301,A106)&gt;1,"线索ID重复",IF(AND(B106&lt;&gt;"",COUNTIF($B$2:$B$301,B106)&gt;1),"合作ID重复：一合作一行",IF(OR(F106="",T106="",U106=""),"待补负责人/状态/录入日","已建档；继续核对证据"))))</f>
        <v/>
      </c>
    </row>
    <row r="107" spans="32:32" ht="34" customHeight="1">
      <c r="AF107" s="9">
        <f>IF(A107="","",IF(COUNTIF($A$2:$A$301,A107)&gt;1,"线索ID重复",IF(AND(B107&lt;&gt;"",COUNTIF($B$2:$B$301,B107)&gt;1),"合作ID重复：一合作一行",IF(OR(F107="",T107="",U107=""),"待补负责人/状态/录入日","已建档；继续核对证据"))))</f>
        <v/>
      </c>
    </row>
    <row r="108" spans="32:32" ht="34" customHeight="1">
      <c r="AF108" s="9">
        <f>IF(A108="","",IF(COUNTIF($A$2:$A$301,A108)&gt;1,"线索ID重复",IF(AND(B108&lt;&gt;"",COUNTIF($B$2:$B$301,B108)&gt;1),"合作ID重复：一合作一行",IF(OR(F108="",T108="",U108=""),"待补负责人/状态/录入日","已建档；继续核对证据"))))</f>
        <v/>
      </c>
    </row>
    <row r="109" spans="32:32" ht="34" customHeight="1">
      <c r="AF109" s="9">
        <f>IF(A109="","",IF(COUNTIF($A$2:$A$301,A109)&gt;1,"线索ID重复",IF(AND(B109&lt;&gt;"",COUNTIF($B$2:$B$301,B109)&gt;1),"合作ID重复：一合作一行",IF(OR(F109="",T109="",U109=""),"待补负责人/状态/录入日","已建档；继续核对证据"))))</f>
        <v/>
      </c>
    </row>
    <row r="110" spans="32:32" ht="34" customHeight="1">
      <c r="AF110" s="9">
        <f>IF(A110="","",IF(COUNTIF($A$2:$A$301,A110)&gt;1,"线索ID重复",IF(AND(B110&lt;&gt;"",COUNTIF($B$2:$B$301,B110)&gt;1),"合作ID重复：一合作一行",IF(OR(F110="",T110="",U110=""),"待补负责人/状态/录入日","已建档；继续核对证据"))))</f>
        <v/>
      </c>
    </row>
    <row r="111" spans="32:32" ht="34" customHeight="1">
      <c r="AF111" s="9">
        <f>IF(A111="","",IF(COUNTIF($A$2:$A$301,A111)&gt;1,"线索ID重复",IF(AND(B111&lt;&gt;"",COUNTIF($B$2:$B$301,B111)&gt;1),"合作ID重复：一合作一行",IF(OR(F111="",T111="",U111=""),"待补负责人/状态/录入日","已建档；继续核对证据"))))</f>
        <v/>
      </c>
    </row>
    <row r="112" spans="32:32" ht="34" customHeight="1">
      <c r="AF112" s="9">
        <f>IF(A112="","",IF(COUNTIF($A$2:$A$301,A112)&gt;1,"线索ID重复",IF(AND(B112&lt;&gt;"",COUNTIF($B$2:$B$301,B112)&gt;1),"合作ID重复：一合作一行",IF(OR(F112="",T112="",U112=""),"待补负责人/状态/录入日","已建档；继续核对证据"))))</f>
        <v/>
      </c>
    </row>
    <row r="113" spans="32:32" ht="34" customHeight="1">
      <c r="AF113" s="9">
        <f>IF(A113="","",IF(COUNTIF($A$2:$A$301,A113)&gt;1,"线索ID重复",IF(AND(B113&lt;&gt;"",COUNTIF($B$2:$B$301,B113)&gt;1),"合作ID重复：一合作一行",IF(OR(F113="",T113="",U113=""),"待补负责人/状态/录入日","已建档；继续核对证据"))))</f>
        <v/>
      </c>
    </row>
    <row r="114" spans="32:32" ht="34" customHeight="1">
      <c r="AF114" s="9">
        <f>IF(A114="","",IF(COUNTIF($A$2:$A$301,A114)&gt;1,"线索ID重复",IF(AND(B114&lt;&gt;"",COUNTIF($B$2:$B$301,B114)&gt;1),"合作ID重复：一合作一行",IF(OR(F114="",T114="",U114=""),"待补负责人/状态/录入日","已建档；继续核对证据"))))</f>
        <v/>
      </c>
    </row>
    <row r="115" spans="32:32" ht="34" customHeight="1">
      <c r="AF115" s="9">
        <f>IF(A115="","",IF(COUNTIF($A$2:$A$301,A115)&gt;1,"线索ID重复",IF(AND(B115&lt;&gt;"",COUNTIF($B$2:$B$301,B115)&gt;1),"合作ID重复：一合作一行",IF(OR(F115="",T115="",U115=""),"待补负责人/状态/录入日","已建档；继续核对证据"))))</f>
        <v/>
      </c>
    </row>
    <row r="116" spans="32:32" ht="34" customHeight="1">
      <c r="AF116" s="9">
        <f>IF(A116="","",IF(COUNTIF($A$2:$A$301,A116)&gt;1,"线索ID重复",IF(AND(B116&lt;&gt;"",COUNTIF($B$2:$B$301,B116)&gt;1),"合作ID重复：一合作一行",IF(OR(F116="",T116="",U116=""),"待补负责人/状态/录入日","已建档；继续核对证据"))))</f>
        <v/>
      </c>
    </row>
    <row r="117" spans="32:32" ht="34" customHeight="1">
      <c r="AF117" s="9">
        <f>IF(A117="","",IF(COUNTIF($A$2:$A$301,A117)&gt;1,"线索ID重复",IF(AND(B117&lt;&gt;"",COUNTIF($B$2:$B$301,B117)&gt;1),"合作ID重复：一合作一行",IF(OR(F117="",T117="",U117=""),"待补负责人/状态/录入日","已建档；继续核对证据"))))</f>
        <v/>
      </c>
    </row>
    <row r="118" spans="32:32" ht="34" customHeight="1">
      <c r="AF118" s="9">
        <f>IF(A118="","",IF(COUNTIF($A$2:$A$301,A118)&gt;1,"线索ID重复",IF(AND(B118&lt;&gt;"",COUNTIF($B$2:$B$301,B118)&gt;1),"合作ID重复：一合作一行",IF(OR(F118="",T118="",U118=""),"待补负责人/状态/录入日","已建档；继续核对证据"))))</f>
        <v/>
      </c>
    </row>
    <row r="119" spans="32:32" ht="34" customHeight="1">
      <c r="AF119" s="9">
        <f>IF(A119="","",IF(COUNTIF($A$2:$A$301,A119)&gt;1,"线索ID重复",IF(AND(B119&lt;&gt;"",COUNTIF($B$2:$B$301,B119)&gt;1),"合作ID重复：一合作一行",IF(OR(F119="",T119="",U119=""),"待补负责人/状态/录入日","已建档；继续核对证据"))))</f>
        <v/>
      </c>
    </row>
    <row r="120" spans="32:32" ht="34" customHeight="1">
      <c r="AF120" s="9">
        <f>IF(A120="","",IF(COUNTIF($A$2:$A$301,A120)&gt;1,"线索ID重复",IF(AND(B120&lt;&gt;"",COUNTIF($B$2:$B$301,B120)&gt;1),"合作ID重复：一合作一行",IF(OR(F120="",T120="",U120=""),"待补负责人/状态/录入日","已建档；继续核对证据"))))</f>
        <v/>
      </c>
    </row>
    <row r="121" spans="32:32" ht="34" customHeight="1">
      <c r="AF121" s="9">
        <f>IF(A121="","",IF(COUNTIF($A$2:$A$301,A121)&gt;1,"线索ID重复",IF(AND(B121&lt;&gt;"",COUNTIF($B$2:$B$301,B121)&gt;1),"合作ID重复：一合作一行",IF(OR(F121="",T121="",U121=""),"待补负责人/状态/录入日","已建档；继续核对证据"))))</f>
        <v/>
      </c>
    </row>
    <row r="122" spans="32:32" ht="34" customHeight="1">
      <c r="AF122" s="9">
        <f>IF(A122="","",IF(COUNTIF($A$2:$A$301,A122)&gt;1,"线索ID重复",IF(AND(B122&lt;&gt;"",COUNTIF($B$2:$B$301,B122)&gt;1),"合作ID重复：一合作一行",IF(OR(F122="",T122="",U122=""),"待补负责人/状态/录入日","已建档；继续核对证据"))))</f>
        <v/>
      </c>
    </row>
    <row r="123" spans="32:32" ht="34" customHeight="1">
      <c r="AF123" s="9">
        <f>IF(A123="","",IF(COUNTIF($A$2:$A$301,A123)&gt;1,"线索ID重复",IF(AND(B123&lt;&gt;"",COUNTIF($B$2:$B$301,B123)&gt;1),"合作ID重复：一合作一行",IF(OR(F123="",T123="",U123=""),"待补负责人/状态/录入日","已建档；继续核对证据"))))</f>
        <v/>
      </c>
    </row>
    <row r="124" spans="32:32" ht="34" customHeight="1">
      <c r="AF124" s="9">
        <f>IF(A124="","",IF(COUNTIF($A$2:$A$301,A124)&gt;1,"线索ID重复",IF(AND(B124&lt;&gt;"",COUNTIF($B$2:$B$301,B124)&gt;1),"合作ID重复：一合作一行",IF(OR(F124="",T124="",U124=""),"待补负责人/状态/录入日","已建档；继续核对证据"))))</f>
        <v/>
      </c>
    </row>
    <row r="125" spans="32:32" ht="34" customHeight="1">
      <c r="AF125" s="9">
        <f>IF(A125="","",IF(COUNTIF($A$2:$A$301,A125)&gt;1,"线索ID重复",IF(AND(B125&lt;&gt;"",COUNTIF($B$2:$B$301,B125)&gt;1),"合作ID重复：一合作一行",IF(OR(F125="",T125="",U125=""),"待补负责人/状态/录入日","已建档；继续核对证据"))))</f>
        <v/>
      </c>
    </row>
    <row r="126" spans="32:32" ht="34" customHeight="1">
      <c r="AF126" s="9">
        <f>IF(A126="","",IF(COUNTIF($A$2:$A$301,A126)&gt;1,"线索ID重复",IF(AND(B126&lt;&gt;"",COUNTIF($B$2:$B$301,B126)&gt;1),"合作ID重复：一合作一行",IF(OR(F126="",T126="",U126=""),"待补负责人/状态/录入日","已建档；继续核对证据"))))</f>
        <v/>
      </c>
    </row>
    <row r="127" spans="32:32" ht="34" customHeight="1">
      <c r="AF127" s="9">
        <f>IF(A127="","",IF(COUNTIF($A$2:$A$301,A127)&gt;1,"线索ID重复",IF(AND(B127&lt;&gt;"",COUNTIF($B$2:$B$301,B127)&gt;1),"合作ID重复：一合作一行",IF(OR(F127="",T127="",U127=""),"待补负责人/状态/录入日","已建档；继续核对证据"))))</f>
        <v/>
      </c>
    </row>
    <row r="128" spans="32:32" ht="34" customHeight="1">
      <c r="AF128" s="9">
        <f>IF(A128="","",IF(COUNTIF($A$2:$A$301,A128)&gt;1,"线索ID重复",IF(AND(B128&lt;&gt;"",COUNTIF($B$2:$B$301,B128)&gt;1),"合作ID重复：一合作一行",IF(OR(F128="",T128="",U128=""),"待补负责人/状态/录入日","已建档；继续核对证据"))))</f>
        <v/>
      </c>
    </row>
    <row r="129" spans="32:32" ht="34" customHeight="1">
      <c r="AF129" s="9">
        <f>IF(A129="","",IF(COUNTIF($A$2:$A$301,A129)&gt;1,"线索ID重复",IF(AND(B129&lt;&gt;"",COUNTIF($B$2:$B$301,B129)&gt;1),"合作ID重复：一合作一行",IF(OR(F129="",T129="",U129=""),"待补负责人/状态/录入日","已建档；继续核对证据"))))</f>
        <v/>
      </c>
    </row>
    <row r="130" spans="32:32" ht="34" customHeight="1">
      <c r="AF130" s="9">
        <f>IF(A130="","",IF(COUNTIF($A$2:$A$301,A130)&gt;1,"线索ID重复",IF(AND(B130&lt;&gt;"",COUNTIF($B$2:$B$301,B130)&gt;1),"合作ID重复：一合作一行",IF(OR(F130="",T130="",U130=""),"待补负责人/状态/录入日","已建档；继续核对证据"))))</f>
        <v/>
      </c>
    </row>
    <row r="131" spans="32:32" ht="34" customHeight="1">
      <c r="AF131" s="9">
        <f>IF(A131="","",IF(COUNTIF($A$2:$A$301,A131)&gt;1,"线索ID重复",IF(AND(B131&lt;&gt;"",COUNTIF($B$2:$B$301,B131)&gt;1),"合作ID重复：一合作一行",IF(OR(F131="",T131="",U131=""),"待补负责人/状态/录入日","已建档；继续核对证据"))))</f>
        <v/>
      </c>
    </row>
    <row r="132" spans="32:32" ht="34" customHeight="1">
      <c r="AF132" s="9">
        <f>IF(A132="","",IF(COUNTIF($A$2:$A$301,A132)&gt;1,"线索ID重复",IF(AND(B132&lt;&gt;"",COUNTIF($B$2:$B$301,B132)&gt;1),"合作ID重复：一合作一行",IF(OR(F132="",T132="",U132=""),"待补负责人/状态/录入日","已建档；继续核对证据"))))</f>
        <v/>
      </c>
    </row>
    <row r="133" spans="32:32" ht="34" customHeight="1">
      <c r="AF133" s="9">
        <f>IF(A133="","",IF(COUNTIF($A$2:$A$301,A133)&gt;1,"线索ID重复",IF(AND(B133&lt;&gt;"",COUNTIF($B$2:$B$301,B133)&gt;1),"合作ID重复：一合作一行",IF(OR(F133="",T133="",U133=""),"待补负责人/状态/录入日","已建档；继续核对证据"))))</f>
        <v/>
      </c>
    </row>
    <row r="134" spans="32:32" ht="34" customHeight="1">
      <c r="AF134" s="9">
        <f>IF(A134="","",IF(COUNTIF($A$2:$A$301,A134)&gt;1,"线索ID重复",IF(AND(B134&lt;&gt;"",COUNTIF($B$2:$B$301,B134)&gt;1),"合作ID重复：一合作一行",IF(OR(F134="",T134="",U134=""),"待补负责人/状态/录入日","已建档；继续核对证据"))))</f>
        <v/>
      </c>
    </row>
    <row r="135" spans="32:32" ht="34" customHeight="1">
      <c r="AF135" s="9">
        <f>IF(A135="","",IF(COUNTIF($A$2:$A$301,A135)&gt;1,"线索ID重复",IF(AND(B135&lt;&gt;"",COUNTIF($B$2:$B$301,B135)&gt;1),"合作ID重复：一合作一行",IF(OR(F135="",T135="",U135=""),"待补负责人/状态/录入日","已建档；继续核对证据"))))</f>
        <v/>
      </c>
    </row>
    <row r="136" spans="32:32" ht="34" customHeight="1">
      <c r="AF136" s="9">
        <f>IF(A136="","",IF(COUNTIF($A$2:$A$301,A136)&gt;1,"线索ID重复",IF(AND(B136&lt;&gt;"",COUNTIF($B$2:$B$301,B136)&gt;1),"合作ID重复：一合作一行",IF(OR(F136="",T136="",U136=""),"待补负责人/状态/录入日","已建档；继续核对证据"))))</f>
        <v/>
      </c>
    </row>
    <row r="137" spans="32:32" ht="34" customHeight="1">
      <c r="AF137" s="9">
        <f>IF(A137="","",IF(COUNTIF($A$2:$A$301,A137)&gt;1,"线索ID重复",IF(AND(B137&lt;&gt;"",COUNTIF($B$2:$B$301,B137)&gt;1),"合作ID重复：一合作一行",IF(OR(F137="",T137="",U137=""),"待补负责人/状态/录入日","已建档；继续核对证据"))))</f>
        <v/>
      </c>
    </row>
    <row r="138" spans="32:32" ht="34" customHeight="1">
      <c r="AF138" s="9">
        <f>IF(A138="","",IF(COUNTIF($A$2:$A$301,A138)&gt;1,"线索ID重复",IF(AND(B138&lt;&gt;"",COUNTIF($B$2:$B$301,B138)&gt;1),"合作ID重复：一合作一行",IF(OR(F138="",T138="",U138=""),"待补负责人/状态/录入日","已建档；继续核对证据"))))</f>
        <v/>
      </c>
    </row>
    <row r="139" spans="32:32" ht="34" customHeight="1">
      <c r="AF139" s="9">
        <f>IF(A139="","",IF(COUNTIF($A$2:$A$301,A139)&gt;1,"线索ID重复",IF(AND(B139&lt;&gt;"",COUNTIF($B$2:$B$301,B139)&gt;1),"合作ID重复：一合作一行",IF(OR(F139="",T139="",U139=""),"待补负责人/状态/录入日","已建档；继续核对证据"))))</f>
        <v/>
      </c>
    </row>
    <row r="140" spans="32:32" ht="34" customHeight="1">
      <c r="AF140" s="9">
        <f>IF(A140="","",IF(COUNTIF($A$2:$A$301,A140)&gt;1,"线索ID重复",IF(AND(B140&lt;&gt;"",COUNTIF($B$2:$B$301,B140)&gt;1),"合作ID重复：一合作一行",IF(OR(F140="",T140="",U140=""),"待补负责人/状态/录入日","已建档；继续核对证据"))))</f>
        <v/>
      </c>
    </row>
    <row r="141" spans="32:32" ht="34" customHeight="1">
      <c r="AF141" s="9">
        <f>IF(A141="","",IF(COUNTIF($A$2:$A$301,A141)&gt;1,"线索ID重复",IF(AND(B141&lt;&gt;"",COUNTIF($B$2:$B$301,B141)&gt;1),"合作ID重复：一合作一行",IF(OR(F141="",T141="",U141=""),"待补负责人/状态/录入日","已建档；继续核对证据"))))</f>
        <v/>
      </c>
    </row>
    <row r="142" spans="32:32" ht="34" customHeight="1">
      <c r="AF142" s="9">
        <f>IF(A142="","",IF(COUNTIF($A$2:$A$301,A142)&gt;1,"线索ID重复",IF(AND(B142&lt;&gt;"",COUNTIF($B$2:$B$301,B142)&gt;1),"合作ID重复：一合作一行",IF(OR(F142="",T142="",U142=""),"待补负责人/状态/录入日","已建档；继续核对证据"))))</f>
        <v/>
      </c>
    </row>
    <row r="143" spans="32:32" ht="34" customHeight="1">
      <c r="AF143" s="9">
        <f>IF(A143="","",IF(COUNTIF($A$2:$A$301,A143)&gt;1,"线索ID重复",IF(AND(B143&lt;&gt;"",COUNTIF($B$2:$B$301,B143)&gt;1),"合作ID重复：一合作一行",IF(OR(F143="",T143="",U143=""),"待补负责人/状态/录入日","已建档；继续核对证据"))))</f>
        <v/>
      </c>
    </row>
    <row r="144" spans="32:32" ht="34" customHeight="1">
      <c r="AF144" s="9">
        <f>IF(A144="","",IF(COUNTIF($A$2:$A$301,A144)&gt;1,"线索ID重复",IF(AND(B144&lt;&gt;"",COUNTIF($B$2:$B$301,B144)&gt;1),"合作ID重复：一合作一行",IF(OR(F144="",T144="",U144=""),"待补负责人/状态/录入日","已建档；继续核对证据"))))</f>
        <v/>
      </c>
    </row>
    <row r="145" spans="32:32" ht="34" customHeight="1">
      <c r="AF145" s="9">
        <f>IF(A145="","",IF(COUNTIF($A$2:$A$301,A145)&gt;1,"线索ID重复",IF(AND(B145&lt;&gt;"",COUNTIF($B$2:$B$301,B145)&gt;1),"合作ID重复：一合作一行",IF(OR(F145="",T145="",U145=""),"待补负责人/状态/录入日","已建档；继续核对证据"))))</f>
        <v/>
      </c>
    </row>
    <row r="146" spans="32:32" ht="34" customHeight="1">
      <c r="AF146" s="9">
        <f>IF(A146="","",IF(COUNTIF($A$2:$A$301,A146)&gt;1,"线索ID重复",IF(AND(B146&lt;&gt;"",COUNTIF($B$2:$B$301,B146)&gt;1),"合作ID重复：一合作一行",IF(OR(F146="",T146="",U146=""),"待补负责人/状态/录入日","已建档；继续核对证据"))))</f>
        <v/>
      </c>
    </row>
    <row r="147" spans="32:32" ht="34" customHeight="1">
      <c r="AF147" s="9">
        <f>IF(A147="","",IF(COUNTIF($A$2:$A$301,A147)&gt;1,"线索ID重复",IF(AND(B147&lt;&gt;"",COUNTIF($B$2:$B$301,B147)&gt;1),"合作ID重复：一合作一行",IF(OR(F147="",T147="",U147=""),"待补负责人/状态/录入日","已建档；继续核对证据"))))</f>
        <v/>
      </c>
    </row>
    <row r="148" spans="32:32" ht="34" customHeight="1">
      <c r="AF148" s="9">
        <f>IF(A148="","",IF(COUNTIF($A$2:$A$301,A148)&gt;1,"线索ID重复",IF(AND(B148&lt;&gt;"",COUNTIF($B$2:$B$301,B148)&gt;1),"合作ID重复：一合作一行",IF(OR(F148="",T148="",U148=""),"待补负责人/状态/录入日","已建档；继续核对证据"))))</f>
        <v/>
      </c>
    </row>
    <row r="149" spans="32:32" ht="34" customHeight="1">
      <c r="AF149" s="9">
        <f>IF(A149="","",IF(COUNTIF($A$2:$A$301,A149)&gt;1,"线索ID重复",IF(AND(B149&lt;&gt;"",COUNTIF($B$2:$B$301,B149)&gt;1),"合作ID重复：一合作一行",IF(OR(F149="",T149="",U149=""),"待补负责人/状态/录入日","已建档；继续核对证据"))))</f>
        <v/>
      </c>
    </row>
    <row r="150" spans="32:32" ht="34" customHeight="1">
      <c r="AF150" s="9">
        <f>IF(A150="","",IF(COUNTIF($A$2:$A$301,A150)&gt;1,"线索ID重复",IF(AND(B150&lt;&gt;"",COUNTIF($B$2:$B$301,B150)&gt;1),"合作ID重复：一合作一行",IF(OR(F150="",T150="",U150=""),"待补负责人/状态/录入日","已建档；继续核对证据"))))</f>
        <v/>
      </c>
    </row>
    <row r="151" spans="32:32" ht="34" customHeight="1">
      <c r="AF151" s="9">
        <f>IF(A151="","",IF(COUNTIF($A$2:$A$301,A151)&gt;1,"线索ID重复",IF(AND(B151&lt;&gt;"",COUNTIF($B$2:$B$301,B151)&gt;1),"合作ID重复：一合作一行",IF(OR(F151="",T151="",U151=""),"待补负责人/状态/录入日","已建档；继续核对证据"))))</f>
        <v/>
      </c>
    </row>
    <row r="152" spans="32:32" ht="34" customHeight="1">
      <c r="AF152" s="9">
        <f>IF(A152="","",IF(COUNTIF($A$2:$A$301,A152)&gt;1,"线索ID重复",IF(AND(B152&lt;&gt;"",COUNTIF($B$2:$B$301,B152)&gt;1),"合作ID重复：一合作一行",IF(OR(F152="",T152="",U152=""),"待补负责人/状态/录入日","已建档；继续核对证据"))))</f>
        <v/>
      </c>
    </row>
    <row r="153" spans="32:32" ht="34" customHeight="1">
      <c r="AF153" s="9">
        <f>IF(A153="","",IF(COUNTIF($A$2:$A$301,A153)&gt;1,"线索ID重复",IF(AND(B153&lt;&gt;"",COUNTIF($B$2:$B$301,B153)&gt;1),"合作ID重复：一合作一行",IF(OR(F153="",T153="",U153=""),"待补负责人/状态/录入日","已建档；继续核对证据"))))</f>
        <v/>
      </c>
    </row>
    <row r="154" spans="32:32" ht="34" customHeight="1">
      <c r="AF154" s="9">
        <f>IF(A154="","",IF(COUNTIF($A$2:$A$301,A154)&gt;1,"线索ID重复",IF(AND(B154&lt;&gt;"",COUNTIF($B$2:$B$301,B154)&gt;1),"合作ID重复：一合作一行",IF(OR(F154="",T154="",U154=""),"待补负责人/状态/录入日","已建档；继续核对证据"))))</f>
        <v/>
      </c>
    </row>
    <row r="155" spans="32:32" ht="34" customHeight="1">
      <c r="AF155" s="9">
        <f>IF(A155="","",IF(COUNTIF($A$2:$A$301,A155)&gt;1,"线索ID重复",IF(AND(B155&lt;&gt;"",COUNTIF($B$2:$B$301,B155)&gt;1),"合作ID重复：一合作一行",IF(OR(F155="",T155="",U155=""),"待补负责人/状态/录入日","已建档；继续核对证据"))))</f>
        <v/>
      </c>
    </row>
    <row r="156" spans="32:32" ht="34" customHeight="1">
      <c r="AF156" s="9">
        <f>IF(A156="","",IF(COUNTIF($A$2:$A$301,A156)&gt;1,"线索ID重复",IF(AND(B156&lt;&gt;"",COUNTIF($B$2:$B$301,B156)&gt;1),"合作ID重复：一合作一行",IF(OR(F156="",T156="",U156=""),"待补负责人/状态/录入日","已建档；继续核对证据"))))</f>
        <v/>
      </c>
    </row>
    <row r="157" spans="32:32" ht="34" customHeight="1">
      <c r="AF157" s="9">
        <f>IF(A157="","",IF(COUNTIF($A$2:$A$301,A157)&gt;1,"线索ID重复",IF(AND(B157&lt;&gt;"",COUNTIF($B$2:$B$301,B157)&gt;1),"合作ID重复：一合作一行",IF(OR(F157="",T157="",U157=""),"待补负责人/状态/录入日","已建档；继续核对证据"))))</f>
        <v/>
      </c>
    </row>
    <row r="158" spans="32:32" ht="34" customHeight="1">
      <c r="AF158" s="9">
        <f>IF(A158="","",IF(COUNTIF($A$2:$A$301,A158)&gt;1,"线索ID重复",IF(AND(B158&lt;&gt;"",COUNTIF($B$2:$B$301,B158)&gt;1),"合作ID重复：一合作一行",IF(OR(F158="",T158="",U158=""),"待补负责人/状态/录入日","已建档；继续核对证据"))))</f>
        <v/>
      </c>
    </row>
    <row r="159" spans="32:32" ht="34" customHeight="1">
      <c r="AF159" s="9">
        <f>IF(A159="","",IF(COUNTIF($A$2:$A$301,A159)&gt;1,"线索ID重复",IF(AND(B159&lt;&gt;"",COUNTIF($B$2:$B$301,B159)&gt;1),"合作ID重复：一合作一行",IF(OR(F159="",T159="",U159=""),"待补负责人/状态/录入日","已建档；继续核对证据"))))</f>
        <v/>
      </c>
    </row>
    <row r="160" spans="32:32" ht="34" customHeight="1">
      <c r="AF160" s="9">
        <f>IF(A160="","",IF(COUNTIF($A$2:$A$301,A160)&gt;1,"线索ID重复",IF(AND(B160&lt;&gt;"",COUNTIF($B$2:$B$301,B160)&gt;1),"合作ID重复：一合作一行",IF(OR(F160="",T160="",U160=""),"待补负责人/状态/录入日","已建档；继续核对证据"))))</f>
        <v/>
      </c>
    </row>
    <row r="161" spans="32:32" ht="34" customHeight="1">
      <c r="AF161" s="9">
        <f>IF(A161="","",IF(COUNTIF($A$2:$A$301,A161)&gt;1,"线索ID重复",IF(AND(B161&lt;&gt;"",COUNTIF($B$2:$B$301,B161)&gt;1),"合作ID重复：一合作一行",IF(OR(F161="",T161="",U161=""),"待补负责人/状态/录入日","已建档；继续核对证据"))))</f>
        <v/>
      </c>
    </row>
    <row r="162" spans="32:32" ht="34" customHeight="1">
      <c r="AF162" s="9">
        <f>IF(A162="","",IF(COUNTIF($A$2:$A$301,A162)&gt;1,"线索ID重复",IF(AND(B162&lt;&gt;"",COUNTIF($B$2:$B$301,B162)&gt;1),"合作ID重复：一合作一行",IF(OR(F162="",T162="",U162=""),"待补负责人/状态/录入日","已建档；继续核对证据"))))</f>
        <v/>
      </c>
    </row>
    <row r="163" spans="32:32" ht="34" customHeight="1">
      <c r="AF163" s="9">
        <f>IF(A163="","",IF(COUNTIF($A$2:$A$301,A163)&gt;1,"线索ID重复",IF(AND(B163&lt;&gt;"",COUNTIF($B$2:$B$301,B163)&gt;1),"合作ID重复：一合作一行",IF(OR(F163="",T163="",U163=""),"待补负责人/状态/录入日","已建档；继续核对证据"))))</f>
        <v/>
      </c>
    </row>
    <row r="164" spans="32:32" ht="34" customHeight="1">
      <c r="AF164" s="9">
        <f>IF(A164="","",IF(COUNTIF($A$2:$A$301,A164)&gt;1,"线索ID重复",IF(AND(B164&lt;&gt;"",COUNTIF($B$2:$B$301,B164)&gt;1),"合作ID重复：一合作一行",IF(OR(F164="",T164="",U164=""),"待补负责人/状态/录入日","已建档；继续核对证据"))))</f>
        <v/>
      </c>
    </row>
    <row r="165" spans="32:32" ht="34" customHeight="1">
      <c r="AF165" s="9">
        <f>IF(A165="","",IF(COUNTIF($A$2:$A$301,A165)&gt;1,"线索ID重复",IF(AND(B165&lt;&gt;"",COUNTIF($B$2:$B$301,B165)&gt;1),"合作ID重复：一合作一行",IF(OR(F165="",T165="",U165=""),"待补负责人/状态/录入日","已建档；继续核对证据"))))</f>
        <v/>
      </c>
    </row>
    <row r="166" spans="32:32" ht="34" customHeight="1">
      <c r="AF166" s="9">
        <f>IF(A166="","",IF(COUNTIF($A$2:$A$301,A166)&gt;1,"线索ID重复",IF(AND(B166&lt;&gt;"",COUNTIF($B$2:$B$301,B166)&gt;1),"合作ID重复：一合作一行",IF(OR(F166="",T166="",U166=""),"待补负责人/状态/录入日","已建档；继续核对证据"))))</f>
        <v/>
      </c>
    </row>
    <row r="167" spans="32:32" ht="34" customHeight="1">
      <c r="AF167" s="9">
        <f>IF(A167="","",IF(COUNTIF($A$2:$A$301,A167)&gt;1,"线索ID重复",IF(AND(B167&lt;&gt;"",COUNTIF($B$2:$B$301,B167)&gt;1),"合作ID重复：一合作一行",IF(OR(F167="",T167="",U167=""),"待补负责人/状态/录入日","已建档；继续核对证据"))))</f>
        <v/>
      </c>
    </row>
    <row r="168" spans="32:32" ht="34" customHeight="1">
      <c r="AF168" s="9">
        <f>IF(A168="","",IF(COUNTIF($A$2:$A$301,A168)&gt;1,"线索ID重复",IF(AND(B168&lt;&gt;"",COUNTIF($B$2:$B$301,B168)&gt;1),"合作ID重复：一合作一行",IF(OR(F168="",T168="",U168=""),"待补负责人/状态/录入日","已建档；继续核对证据"))))</f>
        <v/>
      </c>
    </row>
    <row r="169" spans="32:32" ht="34" customHeight="1">
      <c r="AF169" s="9">
        <f>IF(A169="","",IF(COUNTIF($A$2:$A$301,A169)&gt;1,"线索ID重复",IF(AND(B169&lt;&gt;"",COUNTIF($B$2:$B$301,B169)&gt;1),"合作ID重复：一合作一行",IF(OR(F169="",T169="",U169=""),"待补负责人/状态/录入日","已建档；继续核对证据"))))</f>
        <v/>
      </c>
    </row>
    <row r="170" spans="32:32" ht="34" customHeight="1">
      <c r="AF170" s="9">
        <f>IF(A170="","",IF(COUNTIF($A$2:$A$301,A170)&gt;1,"线索ID重复",IF(AND(B170&lt;&gt;"",COUNTIF($B$2:$B$301,B170)&gt;1),"合作ID重复：一合作一行",IF(OR(F170="",T170="",U170=""),"待补负责人/状态/录入日","已建档；继续核对证据"))))</f>
        <v/>
      </c>
    </row>
    <row r="171" spans="32:32" ht="34" customHeight="1">
      <c r="AF171" s="9">
        <f>IF(A171="","",IF(COUNTIF($A$2:$A$301,A171)&gt;1,"线索ID重复",IF(AND(B171&lt;&gt;"",COUNTIF($B$2:$B$301,B171)&gt;1),"合作ID重复：一合作一行",IF(OR(F171="",T171="",U171=""),"待补负责人/状态/录入日","已建档；继续核对证据"))))</f>
        <v/>
      </c>
    </row>
    <row r="172" spans="32:32" ht="34" customHeight="1">
      <c r="AF172" s="9">
        <f>IF(A172="","",IF(COUNTIF($A$2:$A$301,A172)&gt;1,"线索ID重复",IF(AND(B172&lt;&gt;"",COUNTIF($B$2:$B$301,B172)&gt;1),"合作ID重复：一合作一行",IF(OR(F172="",T172="",U172=""),"待补负责人/状态/录入日","已建档；继续核对证据"))))</f>
        <v/>
      </c>
    </row>
    <row r="173" spans="32:32" ht="34" customHeight="1">
      <c r="AF173" s="9">
        <f>IF(A173="","",IF(COUNTIF($A$2:$A$301,A173)&gt;1,"线索ID重复",IF(AND(B173&lt;&gt;"",COUNTIF($B$2:$B$301,B173)&gt;1),"合作ID重复：一合作一行",IF(OR(F173="",T173="",U173=""),"待补负责人/状态/录入日","已建档；继续核对证据"))))</f>
        <v/>
      </c>
    </row>
    <row r="174" spans="32:32" ht="34" customHeight="1">
      <c r="AF174" s="9">
        <f>IF(A174="","",IF(COUNTIF($A$2:$A$301,A174)&gt;1,"线索ID重复",IF(AND(B174&lt;&gt;"",COUNTIF($B$2:$B$301,B174)&gt;1),"合作ID重复：一合作一行",IF(OR(F174="",T174="",U174=""),"待补负责人/状态/录入日","已建档；继续核对证据"))))</f>
        <v/>
      </c>
    </row>
    <row r="175" spans="32:32" ht="34" customHeight="1">
      <c r="AF175" s="9">
        <f>IF(A175="","",IF(COUNTIF($A$2:$A$301,A175)&gt;1,"线索ID重复",IF(AND(B175&lt;&gt;"",COUNTIF($B$2:$B$301,B175)&gt;1),"合作ID重复：一合作一行",IF(OR(F175="",T175="",U175=""),"待补负责人/状态/录入日","已建档；继续核对证据"))))</f>
        <v/>
      </c>
    </row>
    <row r="176" spans="32:32" ht="34" customHeight="1">
      <c r="AF176" s="9">
        <f>IF(A176="","",IF(COUNTIF($A$2:$A$301,A176)&gt;1,"线索ID重复",IF(AND(B176&lt;&gt;"",COUNTIF($B$2:$B$301,B176)&gt;1),"合作ID重复：一合作一行",IF(OR(F176="",T176="",U176=""),"待补负责人/状态/录入日","已建档；继续核对证据"))))</f>
        <v/>
      </c>
    </row>
    <row r="177" spans="32:32" ht="34" customHeight="1">
      <c r="AF177" s="9">
        <f>IF(A177="","",IF(COUNTIF($A$2:$A$301,A177)&gt;1,"线索ID重复",IF(AND(B177&lt;&gt;"",COUNTIF($B$2:$B$301,B177)&gt;1),"合作ID重复：一合作一行",IF(OR(F177="",T177="",U177=""),"待补负责人/状态/录入日","已建档；继续核对证据"))))</f>
        <v/>
      </c>
    </row>
    <row r="178" spans="32:32" ht="34" customHeight="1">
      <c r="AF178" s="9">
        <f>IF(A178="","",IF(COUNTIF($A$2:$A$301,A178)&gt;1,"线索ID重复",IF(AND(B178&lt;&gt;"",COUNTIF($B$2:$B$301,B178)&gt;1),"合作ID重复：一合作一行",IF(OR(F178="",T178="",U178=""),"待补负责人/状态/录入日","已建档；继续核对证据"))))</f>
        <v/>
      </c>
    </row>
    <row r="179" spans="32:32" ht="34" customHeight="1">
      <c r="AF179" s="9">
        <f>IF(A179="","",IF(COUNTIF($A$2:$A$301,A179)&gt;1,"线索ID重复",IF(AND(B179&lt;&gt;"",COUNTIF($B$2:$B$301,B179)&gt;1),"合作ID重复：一合作一行",IF(OR(F179="",T179="",U179=""),"待补负责人/状态/录入日","已建档；继续核对证据"))))</f>
        <v/>
      </c>
    </row>
    <row r="180" spans="32:32" ht="34" customHeight="1">
      <c r="AF180" s="9">
        <f>IF(A180="","",IF(COUNTIF($A$2:$A$301,A180)&gt;1,"线索ID重复",IF(AND(B180&lt;&gt;"",COUNTIF($B$2:$B$301,B180)&gt;1),"合作ID重复：一合作一行",IF(OR(F180="",T180="",U180=""),"待补负责人/状态/录入日","已建档；继续核对证据"))))</f>
        <v/>
      </c>
    </row>
    <row r="181" spans="32:32" ht="34" customHeight="1">
      <c r="AF181" s="9">
        <f>IF(A181="","",IF(COUNTIF($A$2:$A$301,A181)&gt;1,"线索ID重复",IF(AND(B181&lt;&gt;"",COUNTIF($B$2:$B$301,B181)&gt;1),"合作ID重复：一合作一行",IF(OR(F181="",T181="",U181=""),"待补负责人/状态/录入日","已建档；继续核对证据"))))</f>
        <v/>
      </c>
    </row>
    <row r="182" spans="32:32" ht="34" customHeight="1">
      <c r="AF182" s="9">
        <f>IF(A182="","",IF(COUNTIF($A$2:$A$301,A182)&gt;1,"线索ID重复",IF(AND(B182&lt;&gt;"",COUNTIF($B$2:$B$301,B182)&gt;1),"合作ID重复：一合作一行",IF(OR(F182="",T182="",U182=""),"待补负责人/状态/录入日","已建档；继续核对证据"))))</f>
        <v/>
      </c>
    </row>
    <row r="183" spans="32:32" ht="34" customHeight="1">
      <c r="AF183" s="9">
        <f>IF(A183="","",IF(COUNTIF($A$2:$A$301,A183)&gt;1,"线索ID重复",IF(AND(B183&lt;&gt;"",COUNTIF($B$2:$B$301,B183)&gt;1),"合作ID重复：一合作一行",IF(OR(F183="",T183="",U183=""),"待补负责人/状态/录入日","已建档；继续核对证据"))))</f>
        <v/>
      </c>
    </row>
    <row r="184" spans="32:32" ht="34" customHeight="1">
      <c r="AF184" s="9">
        <f>IF(A184="","",IF(COUNTIF($A$2:$A$301,A184)&gt;1,"线索ID重复",IF(AND(B184&lt;&gt;"",COUNTIF($B$2:$B$301,B184)&gt;1),"合作ID重复：一合作一行",IF(OR(F184="",T184="",U184=""),"待补负责人/状态/录入日","已建档；继续核对证据"))))</f>
        <v/>
      </c>
    </row>
    <row r="185" spans="32:32" ht="34" customHeight="1">
      <c r="AF185" s="9">
        <f>IF(A185="","",IF(COUNTIF($A$2:$A$301,A185)&gt;1,"线索ID重复",IF(AND(B185&lt;&gt;"",COUNTIF($B$2:$B$301,B185)&gt;1),"合作ID重复：一合作一行",IF(OR(F185="",T185="",U185=""),"待补负责人/状态/录入日","已建档；继续核对证据"))))</f>
        <v/>
      </c>
    </row>
    <row r="186" spans="32:32" ht="34" customHeight="1">
      <c r="AF186" s="9">
        <f>IF(A186="","",IF(COUNTIF($A$2:$A$301,A186)&gt;1,"线索ID重复",IF(AND(B186&lt;&gt;"",COUNTIF($B$2:$B$301,B186)&gt;1),"合作ID重复：一合作一行",IF(OR(F186="",T186="",U186=""),"待补负责人/状态/录入日","已建档；继续核对证据"))))</f>
        <v/>
      </c>
    </row>
    <row r="187" spans="32:32" ht="34" customHeight="1">
      <c r="AF187" s="9">
        <f>IF(A187="","",IF(COUNTIF($A$2:$A$301,A187)&gt;1,"线索ID重复",IF(AND(B187&lt;&gt;"",COUNTIF($B$2:$B$301,B187)&gt;1),"合作ID重复：一合作一行",IF(OR(F187="",T187="",U187=""),"待补负责人/状态/录入日","已建档；继续核对证据"))))</f>
        <v/>
      </c>
    </row>
    <row r="188" spans="32:32" ht="34" customHeight="1">
      <c r="AF188" s="9">
        <f>IF(A188="","",IF(COUNTIF($A$2:$A$301,A188)&gt;1,"线索ID重复",IF(AND(B188&lt;&gt;"",COUNTIF($B$2:$B$301,B188)&gt;1),"合作ID重复：一合作一行",IF(OR(F188="",T188="",U188=""),"待补负责人/状态/录入日","已建档；继续核对证据"))))</f>
        <v/>
      </c>
    </row>
    <row r="189" spans="32:32" ht="34" customHeight="1">
      <c r="AF189" s="9">
        <f>IF(A189="","",IF(COUNTIF($A$2:$A$301,A189)&gt;1,"线索ID重复",IF(AND(B189&lt;&gt;"",COUNTIF($B$2:$B$301,B189)&gt;1),"合作ID重复：一合作一行",IF(OR(F189="",T189="",U189=""),"待补负责人/状态/录入日","已建档；继续核对证据"))))</f>
        <v/>
      </c>
    </row>
    <row r="190" spans="32:32" ht="34" customHeight="1">
      <c r="AF190" s="9">
        <f>IF(A190="","",IF(COUNTIF($A$2:$A$301,A190)&gt;1,"线索ID重复",IF(AND(B190&lt;&gt;"",COUNTIF($B$2:$B$301,B190)&gt;1),"合作ID重复：一合作一行",IF(OR(F190="",T190="",U190=""),"待补负责人/状态/录入日","已建档；继续核对证据"))))</f>
        <v/>
      </c>
    </row>
    <row r="191" spans="32:32" ht="34" customHeight="1">
      <c r="AF191" s="9">
        <f>IF(A191="","",IF(COUNTIF($A$2:$A$301,A191)&gt;1,"线索ID重复",IF(AND(B191&lt;&gt;"",COUNTIF($B$2:$B$301,B191)&gt;1),"合作ID重复：一合作一行",IF(OR(F191="",T191="",U191=""),"待补负责人/状态/录入日","已建档；继续核对证据"))))</f>
        <v/>
      </c>
    </row>
    <row r="192" spans="32:32" ht="34" customHeight="1">
      <c r="AF192" s="9">
        <f>IF(A192="","",IF(COUNTIF($A$2:$A$301,A192)&gt;1,"线索ID重复",IF(AND(B192&lt;&gt;"",COUNTIF($B$2:$B$301,B192)&gt;1),"合作ID重复：一合作一行",IF(OR(F192="",T192="",U192=""),"待补负责人/状态/录入日","已建档；继续核对证据"))))</f>
        <v/>
      </c>
    </row>
    <row r="193" spans="32:32" ht="34" customHeight="1">
      <c r="AF193" s="9">
        <f>IF(A193="","",IF(COUNTIF($A$2:$A$301,A193)&gt;1,"线索ID重复",IF(AND(B193&lt;&gt;"",COUNTIF($B$2:$B$301,B193)&gt;1),"合作ID重复：一合作一行",IF(OR(F193="",T193="",U193=""),"待补负责人/状态/录入日","已建档；继续核对证据"))))</f>
        <v/>
      </c>
    </row>
    <row r="194" spans="32:32" ht="34" customHeight="1">
      <c r="AF194" s="9">
        <f>IF(A194="","",IF(COUNTIF($A$2:$A$301,A194)&gt;1,"线索ID重复",IF(AND(B194&lt;&gt;"",COUNTIF($B$2:$B$301,B194)&gt;1),"合作ID重复：一合作一行",IF(OR(F194="",T194="",U194=""),"待补负责人/状态/录入日","已建档；继续核对证据"))))</f>
        <v/>
      </c>
    </row>
    <row r="195" spans="32:32" ht="34" customHeight="1">
      <c r="AF195" s="9">
        <f>IF(A195="","",IF(COUNTIF($A$2:$A$301,A195)&gt;1,"线索ID重复",IF(AND(B195&lt;&gt;"",COUNTIF($B$2:$B$301,B195)&gt;1),"合作ID重复：一合作一行",IF(OR(F195="",T195="",U195=""),"待补负责人/状态/录入日","已建档；继续核对证据"))))</f>
        <v/>
      </c>
    </row>
    <row r="196" spans="32:32" ht="34" customHeight="1">
      <c r="AF196" s="9">
        <f>IF(A196="","",IF(COUNTIF($A$2:$A$301,A196)&gt;1,"线索ID重复",IF(AND(B196&lt;&gt;"",COUNTIF($B$2:$B$301,B196)&gt;1),"合作ID重复：一合作一行",IF(OR(F196="",T196="",U196=""),"待补负责人/状态/录入日","已建档；继续核对证据"))))</f>
        <v/>
      </c>
    </row>
    <row r="197" spans="32:32" ht="34" customHeight="1">
      <c r="AF197" s="9">
        <f>IF(A197="","",IF(COUNTIF($A$2:$A$301,A197)&gt;1,"线索ID重复",IF(AND(B197&lt;&gt;"",COUNTIF($B$2:$B$301,B197)&gt;1),"合作ID重复：一合作一行",IF(OR(F197="",T197="",U197=""),"待补负责人/状态/录入日","已建档；继续核对证据"))))</f>
        <v/>
      </c>
    </row>
    <row r="198" spans="32:32" ht="34" customHeight="1">
      <c r="AF198" s="9">
        <f>IF(A198="","",IF(COUNTIF($A$2:$A$301,A198)&gt;1,"线索ID重复",IF(AND(B198&lt;&gt;"",COUNTIF($B$2:$B$301,B198)&gt;1),"合作ID重复：一合作一行",IF(OR(F198="",T198="",U198=""),"待补负责人/状态/录入日","已建档；继续核对证据"))))</f>
        <v/>
      </c>
    </row>
    <row r="199" spans="32:32" ht="34" customHeight="1">
      <c r="AF199" s="9">
        <f>IF(A199="","",IF(COUNTIF($A$2:$A$301,A199)&gt;1,"线索ID重复",IF(AND(B199&lt;&gt;"",COUNTIF($B$2:$B$301,B199)&gt;1),"合作ID重复：一合作一行",IF(OR(F199="",T199="",U199=""),"待补负责人/状态/录入日","已建档；继续核对证据"))))</f>
        <v/>
      </c>
    </row>
    <row r="200" spans="32:32" ht="34" customHeight="1">
      <c r="AF200" s="9">
        <f>IF(A200="","",IF(COUNTIF($A$2:$A$301,A200)&gt;1,"线索ID重复",IF(AND(B200&lt;&gt;"",COUNTIF($B$2:$B$301,B200)&gt;1),"合作ID重复：一合作一行",IF(OR(F200="",T200="",U200=""),"待补负责人/状态/录入日","已建档；继续核对证据"))))</f>
        <v/>
      </c>
    </row>
    <row r="201" spans="32:32" ht="34" customHeight="1">
      <c r="AF201" s="9">
        <f>IF(A201="","",IF(COUNTIF($A$2:$A$301,A201)&gt;1,"线索ID重复",IF(AND(B201&lt;&gt;"",COUNTIF($B$2:$B$301,B201)&gt;1),"合作ID重复：一合作一行",IF(OR(F201="",T201="",U201=""),"待补负责人/状态/录入日","已建档；继续核对证据"))))</f>
        <v/>
      </c>
    </row>
    <row r="202" spans="32:32" ht="34" customHeight="1">
      <c r="AF202" s="9">
        <f>IF(A202="","",IF(COUNTIF($A$2:$A$301,A202)&gt;1,"线索ID重复",IF(AND(B202&lt;&gt;"",COUNTIF($B$2:$B$301,B202)&gt;1),"合作ID重复：一合作一行",IF(OR(F202="",T202="",U202=""),"待补负责人/状态/录入日","已建档；继续核对证据"))))</f>
        <v/>
      </c>
    </row>
    <row r="203" spans="32:32" ht="34" customHeight="1">
      <c r="AF203" s="9">
        <f>IF(A203="","",IF(COUNTIF($A$2:$A$301,A203)&gt;1,"线索ID重复",IF(AND(B203&lt;&gt;"",COUNTIF($B$2:$B$301,B203)&gt;1),"合作ID重复：一合作一行",IF(OR(F203="",T203="",U203=""),"待补负责人/状态/录入日","已建档；继续核对证据"))))</f>
        <v/>
      </c>
    </row>
    <row r="204" spans="32:32" ht="34" customHeight="1">
      <c r="AF204" s="9">
        <f>IF(A204="","",IF(COUNTIF($A$2:$A$301,A204)&gt;1,"线索ID重复",IF(AND(B204&lt;&gt;"",COUNTIF($B$2:$B$301,B204)&gt;1),"合作ID重复：一合作一行",IF(OR(F204="",T204="",U204=""),"待补负责人/状态/录入日","已建档；继续核对证据"))))</f>
        <v/>
      </c>
    </row>
    <row r="205" spans="32:32" ht="34" customHeight="1">
      <c r="AF205" s="9">
        <f>IF(A205="","",IF(COUNTIF($A$2:$A$301,A205)&gt;1,"线索ID重复",IF(AND(B205&lt;&gt;"",COUNTIF($B$2:$B$301,B205)&gt;1),"合作ID重复：一合作一行",IF(OR(F205="",T205="",U205=""),"待补负责人/状态/录入日","已建档；继续核对证据"))))</f>
        <v/>
      </c>
    </row>
    <row r="206" spans="32:32" ht="34" customHeight="1">
      <c r="AF206" s="9">
        <f>IF(A206="","",IF(COUNTIF($A$2:$A$301,A206)&gt;1,"线索ID重复",IF(AND(B206&lt;&gt;"",COUNTIF($B$2:$B$301,B206)&gt;1),"合作ID重复：一合作一行",IF(OR(F206="",T206="",U206=""),"待补负责人/状态/录入日","已建档；继续核对证据"))))</f>
        <v/>
      </c>
    </row>
    <row r="207" spans="32:32" ht="34" customHeight="1">
      <c r="AF207" s="9">
        <f>IF(A207="","",IF(COUNTIF($A$2:$A$301,A207)&gt;1,"线索ID重复",IF(AND(B207&lt;&gt;"",COUNTIF($B$2:$B$301,B207)&gt;1),"合作ID重复：一合作一行",IF(OR(F207="",T207="",U207=""),"待补负责人/状态/录入日","已建档；继续核对证据"))))</f>
        <v/>
      </c>
    </row>
    <row r="208" spans="32:32" ht="34" customHeight="1">
      <c r="AF208" s="9">
        <f>IF(A208="","",IF(COUNTIF($A$2:$A$301,A208)&gt;1,"线索ID重复",IF(AND(B208&lt;&gt;"",COUNTIF($B$2:$B$301,B208)&gt;1),"合作ID重复：一合作一行",IF(OR(F208="",T208="",U208=""),"待补负责人/状态/录入日","已建档；继续核对证据"))))</f>
        <v/>
      </c>
    </row>
    <row r="209" spans="32:32" ht="34" customHeight="1">
      <c r="AF209" s="9">
        <f>IF(A209="","",IF(COUNTIF($A$2:$A$301,A209)&gt;1,"线索ID重复",IF(AND(B209&lt;&gt;"",COUNTIF($B$2:$B$301,B209)&gt;1),"合作ID重复：一合作一行",IF(OR(F209="",T209="",U209=""),"待补负责人/状态/录入日","已建档；继续核对证据"))))</f>
        <v/>
      </c>
    </row>
    <row r="210" spans="32:32" ht="34" customHeight="1">
      <c r="AF210" s="9">
        <f>IF(A210="","",IF(COUNTIF($A$2:$A$301,A210)&gt;1,"线索ID重复",IF(AND(B210&lt;&gt;"",COUNTIF($B$2:$B$301,B210)&gt;1),"合作ID重复：一合作一行",IF(OR(F210="",T210="",U210=""),"待补负责人/状态/录入日","已建档；继续核对证据"))))</f>
        <v/>
      </c>
    </row>
    <row r="211" spans="32:32" ht="34" customHeight="1">
      <c r="AF211" s="9">
        <f>IF(A211="","",IF(COUNTIF($A$2:$A$301,A211)&gt;1,"线索ID重复",IF(AND(B211&lt;&gt;"",COUNTIF($B$2:$B$301,B211)&gt;1),"合作ID重复：一合作一行",IF(OR(F211="",T211="",U211=""),"待补负责人/状态/录入日","已建档；继续核对证据"))))</f>
        <v/>
      </c>
    </row>
    <row r="212" spans="32:32" ht="34" customHeight="1">
      <c r="AF212" s="9">
        <f>IF(A212="","",IF(COUNTIF($A$2:$A$301,A212)&gt;1,"线索ID重复",IF(AND(B212&lt;&gt;"",COUNTIF($B$2:$B$301,B212)&gt;1),"合作ID重复：一合作一行",IF(OR(F212="",T212="",U212=""),"待补负责人/状态/录入日","已建档；继续核对证据"))))</f>
        <v/>
      </c>
    </row>
    <row r="213" spans="32:32" ht="34" customHeight="1">
      <c r="AF213" s="9">
        <f>IF(A213="","",IF(COUNTIF($A$2:$A$301,A213)&gt;1,"线索ID重复",IF(AND(B213&lt;&gt;"",COUNTIF($B$2:$B$301,B213)&gt;1),"合作ID重复：一合作一行",IF(OR(F213="",T213="",U213=""),"待补负责人/状态/录入日","已建档；继续核对证据"))))</f>
        <v/>
      </c>
    </row>
    <row r="214" spans="32:32" ht="34" customHeight="1">
      <c r="AF214" s="9">
        <f>IF(A214="","",IF(COUNTIF($A$2:$A$301,A214)&gt;1,"线索ID重复",IF(AND(B214&lt;&gt;"",COUNTIF($B$2:$B$301,B214)&gt;1),"合作ID重复：一合作一行",IF(OR(F214="",T214="",U214=""),"待补负责人/状态/录入日","已建档；继续核对证据"))))</f>
        <v/>
      </c>
    </row>
    <row r="215" spans="32:32" ht="34" customHeight="1">
      <c r="AF215" s="9">
        <f>IF(A215="","",IF(COUNTIF($A$2:$A$301,A215)&gt;1,"线索ID重复",IF(AND(B215&lt;&gt;"",COUNTIF($B$2:$B$301,B215)&gt;1),"合作ID重复：一合作一行",IF(OR(F215="",T215="",U215=""),"待补负责人/状态/录入日","已建档；继续核对证据"))))</f>
        <v/>
      </c>
    </row>
    <row r="216" spans="32:32" ht="34" customHeight="1">
      <c r="AF216" s="9">
        <f>IF(A216="","",IF(COUNTIF($A$2:$A$301,A216)&gt;1,"线索ID重复",IF(AND(B216&lt;&gt;"",COUNTIF($B$2:$B$301,B216)&gt;1),"合作ID重复：一合作一行",IF(OR(F216="",T216="",U216=""),"待补负责人/状态/录入日","已建档；继续核对证据"))))</f>
        <v/>
      </c>
    </row>
    <row r="217" spans="32:32" ht="34" customHeight="1">
      <c r="AF217" s="9">
        <f>IF(A217="","",IF(COUNTIF($A$2:$A$301,A217)&gt;1,"线索ID重复",IF(AND(B217&lt;&gt;"",COUNTIF($B$2:$B$301,B217)&gt;1),"合作ID重复：一合作一行",IF(OR(F217="",T217="",U217=""),"待补负责人/状态/录入日","已建档；继续核对证据"))))</f>
        <v/>
      </c>
    </row>
    <row r="218" spans="32:32" ht="34" customHeight="1">
      <c r="AF218" s="9">
        <f>IF(A218="","",IF(COUNTIF($A$2:$A$301,A218)&gt;1,"线索ID重复",IF(AND(B218&lt;&gt;"",COUNTIF($B$2:$B$301,B218)&gt;1),"合作ID重复：一合作一行",IF(OR(F218="",T218="",U218=""),"待补负责人/状态/录入日","已建档；继续核对证据"))))</f>
        <v/>
      </c>
    </row>
    <row r="219" spans="32:32" ht="34" customHeight="1">
      <c r="AF219" s="9">
        <f>IF(A219="","",IF(COUNTIF($A$2:$A$301,A219)&gt;1,"线索ID重复",IF(AND(B219&lt;&gt;"",COUNTIF($B$2:$B$301,B219)&gt;1),"合作ID重复：一合作一行",IF(OR(F219="",T219="",U219=""),"待补负责人/状态/录入日","已建档；继续核对证据"))))</f>
        <v/>
      </c>
    </row>
    <row r="220" spans="32:32" ht="34" customHeight="1">
      <c r="AF220" s="9">
        <f>IF(A220="","",IF(COUNTIF($A$2:$A$301,A220)&gt;1,"线索ID重复",IF(AND(B220&lt;&gt;"",COUNTIF($B$2:$B$301,B220)&gt;1),"合作ID重复：一合作一行",IF(OR(F220="",T220="",U220=""),"待补负责人/状态/录入日","已建档；继续核对证据"))))</f>
        <v/>
      </c>
    </row>
    <row r="221" spans="32:32" ht="34" customHeight="1">
      <c r="AF221" s="9">
        <f>IF(A221="","",IF(COUNTIF($A$2:$A$301,A221)&gt;1,"线索ID重复",IF(AND(B221&lt;&gt;"",COUNTIF($B$2:$B$301,B221)&gt;1),"合作ID重复：一合作一行",IF(OR(F221="",T221="",U221=""),"待补负责人/状态/录入日","已建档；继续核对证据"))))</f>
        <v/>
      </c>
    </row>
    <row r="222" spans="32:32" ht="34" customHeight="1">
      <c r="AF222" s="9">
        <f>IF(A222="","",IF(COUNTIF($A$2:$A$301,A222)&gt;1,"线索ID重复",IF(AND(B222&lt;&gt;"",COUNTIF($B$2:$B$301,B222)&gt;1),"合作ID重复：一合作一行",IF(OR(F222="",T222="",U222=""),"待补负责人/状态/录入日","已建档；继续核对证据"))))</f>
        <v/>
      </c>
    </row>
    <row r="223" spans="32:32" ht="34" customHeight="1">
      <c r="AF223" s="9">
        <f>IF(A223="","",IF(COUNTIF($A$2:$A$301,A223)&gt;1,"线索ID重复",IF(AND(B223&lt;&gt;"",COUNTIF($B$2:$B$301,B223)&gt;1),"合作ID重复：一合作一行",IF(OR(F223="",T223="",U223=""),"待补负责人/状态/录入日","已建档；继续核对证据"))))</f>
        <v/>
      </c>
    </row>
    <row r="224" spans="32:32" ht="34" customHeight="1">
      <c r="AF224" s="9">
        <f>IF(A224="","",IF(COUNTIF($A$2:$A$301,A224)&gt;1,"线索ID重复",IF(AND(B224&lt;&gt;"",COUNTIF($B$2:$B$301,B224)&gt;1),"合作ID重复：一合作一行",IF(OR(F224="",T224="",U224=""),"待补负责人/状态/录入日","已建档；继续核对证据"))))</f>
        <v/>
      </c>
    </row>
    <row r="225" spans="32:32" ht="34" customHeight="1">
      <c r="AF225" s="9">
        <f>IF(A225="","",IF(COUNTIF($A$2:$A$301,A225)&gt;1,"线索ID重复",IF(AND(B225&lt;&gt;"",COUNTIF($B$2:$B$301,B225)&gt;1),"合作ID重复：一合作一行",IF(OR(F225="",T225="",U225=""),"待补负责人/状态/录入日","已建档；继续核对证据"))))</f>
        <v/>
      </c>
    </row>
    <row r="226" spans="32:32" ht="34" customHeight="1">
      <c r="AF226" s="9">
        <f>IF(A226="","",IF(COUNTIF($A$2:$A$301,A226)&gt;1,"线索ID重复",IF(AND(B226&lt;&gt;"",COUNTIF($B$2:$B$301,B226)&gt;1),"合作ID重复：一合作一行",IF(OR(F226="",T226="",U226=""),"待补负责人/状态/录入日","已建档；继续核对证据"))))</f>
        <v/>
      </c>
    </row>
    <row r="227" spans="32:32" ht="34" customHeight="1">
      <c r="AF227" s="9">
        <f>IF(A227="","",IF(COUNTIF($A$2:$A$301,A227)&gt;1,"线索ID重复",IF(AND(B227&lt;&gt;"",COUNTIF($B$2:$B$301,B227)&gt;1),"合作ID重复：一合作一行",IF(OR(F227="",T227="",U227=""),"待补负责人/状态/录入日","已建档；继续核对证据"))))</f>
        <v/>
      </c>
    </row>
    <row r="228" spans="32:32" ht="34" customHeight="1">
      <c r="AF228" s="9">
        <f>IF(A228="","",IF(COUNTIF($A$2:$A$301,A228)&gt;1,"线索ID重复",IF(AND(B228&lt;&gt;"",COUNTIF($B$2:$B$301,B228)&gt;1),"合作ID重复：一合作一行",IF(OR(F228="",T228="",U228=""),"待补负责人/状态/录入日","已建档；继续核对证据"))))</f>
        <v/>
      </c>
    </row>
    <row r="229" spans="32:32" ht="34" customHeight="1">
      <c r="AF229" s="9">
        <f>IF(A229="","",IF(COUNTIF($A$2:$A$301,A229)&gt;1,"线索ID重复",IF(AND(B229&lt;&gt;"",COUNTIF($B$2:$B$301,B229)&gt;1),"合作ID重复：一合作一行",IF(OR(F229="",T229="",U229=""),"待补负责人/状态/录入日","已建档；继续核对证据"))))</f>
        <v/>
      </c>
    </row>
    <row r="230" spans="32:32" ht="34" customHeight="1">
      <c r="AF230" s="9">
        <f>IF(A230="","",IF(COUNTIF($A$2:$A$301,A230)&gt;1,"线索ID重复",IF(AND(B230&lt;&gt;"",COUNTIF($B$2:$B$301,B230)&gt;1),"合作ID重复：一合作一行",IF(OR(F230="",T230="",U230=""),"待补负责人/状态/录入日","已建档；继续核对证据"))))</f>
        <v/>
      </c>
    </row>
    <row r="231" spans="32:32" ht="34" customHeight="1">
      <c r="AF231" s="9">
        <f>IF(A231="","",IF(COUNTIF($A$2:$A$301,A231)&gt;1,"线索ID重复",IF(AND(B231&lt;&gt;"",COUNTIF($B$2:$B$301,B231)&gt;1),"合作ID重复：一合作一行",IF(OR(F231="",T231="",U231=""),"待补负责人/状态/录入日","已建档；继续核对证据"))))</f>
        <v/>
      </c>
    </row>
    <row r="232" spans="32:32" ht="34" customHeight="1">
      <c r="AF232" s="9">
        <f>IF(A232="","",IF(COUNTIF($A$2:$A$301,A232)&gt;1,"线索ID重复",IF(AND(B232&lt;&gt;"",COUNTIF($B$2:$B$301,B232)&gt;1),"合作ID重复：一合作一行",IF(OR(F232="",T232="",U232=""),"待补负责人/状态/录入日","已建档；继续核对证据"))))</f>
        <v/>
      </c>
    </row>
    <row r="233" spans="32:32" ht="34" customHeight="1">
      <c r="AF233" s="9">
        <f>IF(A233="","",IF(COUNTIF($A$2:$A$301,A233)&gt;1,"线索ID重复",IF(AND(B233&lt;&gt;"",COUNTIF($B$2:$B$301,B233)&gt;1),"合作ID重复：一合作一行",IF(OR(F233="",T233="",U233=""),"待补负责人/状态/录入日","已建档；继续核对证据"))))</f>
        <v/>
      </c>
    </row>
    <row r="234" spans="32:32" ht="34" customHeight="1">
      <c r="AF234" s="9">
        <f>IF(A234="","",IF(COUNTIF($A$2:$A$301,A234)&gt;1,"线索ID重复",IF(AND(B234&lt;&gt;"",COUNTIF($B$2:$B$301,B234)&gt;1),"合作ID重复：一合作一行",IF(OR(F234="",T234="",U234=""),"待补负责人/状态/录入日","已建档；继续核对证据"))))</f>
        <v/>
      </c>
    </row>
    <row r="235" spans="32:32" ht="34" customHeight="1">
      <c r="AF235" s="9">
        <f>IF(A235="","",IF(COUNTIF($A$2:$A$301,A235)&gt;1,"线索ID重复",IF(AND(B235&lt;&gt;"",COUNTIF($B$2:$B$301,B235)&gt;1),"合作ID重复：一合作一行",IF(OR(F235="",T235="",U235=""),"待补负责人/状态/录入日","已建档；继续核对证据"))))</f>
        <v/>
      </c>
    </row>
    <row r="236" spans="32:32" ht="34" customHeight="1">
      <c r="AF236" s="9">
        <f>IF(A236="","",IF(COUNTIF($A$2:$A$301,A236)&gt;1,"线索ID重复",IF(AND(B236&lt;&gt;"",COUNTIF($B$2:$B$301,B236)&gt;1),"合作ID重复：一合作一行",IF(OR(F236="",T236="",U236=""),"待补负责人/状态/录入日","已建档；继续核对证据"))))</f>
        <v/>
      </c>
    </row>
    <row r="237" spans="32:32" ht="34" customHeight="1">
      <c r="AF237" s="9">
        <f>IF(A237="","",IF(COUNTIF($A$2:$A$301,A237)&gt;1,"线索ID重复",IF(AND(B237&lt;&gt;"",COUNTIF($B$2:$B$301,B237)&gt;1),"合作ID重复：一合作一行",IF(OR(F237="",T237="",U237=""),"待补负责人/状态/录入日","已建档；继续核对证据"))))</f>
        <v/>
      </c>
    </row>
    <row r="238" spans="32:32" ht="34" customHeight="1">
      <c r="AF238" s="9">
        <f>IF(A238="","",IF(COUNTIF($A$2:$A$301,A238)&gt;1,"线索ID重复",IF(AND(B238&lt;&gt;"",COUNTIF($B$2:$B$301,B238)&gt;1),"合作ID重复：一合作一行",IF(OR(F238="",T238="",U238=""),"待补负责人/状态/录入日","已建档；继续核对证据"))))</f>
        <v/>
      </c>
    </row>
    <row r="239" spans="32:32" ht="34" customHeight="1">
      <c r="AF239" s="9">
        <f>IF(A239="","",IF(COUNTIF($A$2:$A$301,A239)&gt;1,"线索ID重复",IF(AND(B239&lt;&gt;"",COUNTIF($B$2:$B$301,B239)&gt;1),"合作ID重复：一合作一行",IF(OR(F239="",T239="",U239=""),"待补负责人/状态/录入日","已建档；继续核对证据"))))</f>
        <v/>
      </c>
    </row>
    <row r="240" spans="32:32" ht="34" customHeight="1">
      <c r="AF240" s="9">
        <f>IF(A240="","",IF(COUNTIF($A$2:$A$301,A240)&gt;1,"线索ID重复",IF(AND(B240&lt;&gt;"",COUNTIF($B$2:$B$301,B240)&gt;1),"合作ID重复：一合作一行",IF(OR(F240="",T240="",U240=""),"待补负责人/状态/录入日","已建档；继续核对证据"))))</f>
        <v/>
      </c>
    </row>
    <row r="241" spans="32:32" ht="34" customHeight="1">
      <c r="AF241" s="9">
        <f>IF(A241="","",IF(COUNTIF($A$2:$A$301,A241)&gt;1,"线索ID重复",IF(AND(B241&lt;&gt;"",COUNTIF($B$2:$B$301,B241)&gt;1),"合作ID重复：一合作一行",IF(OR(F241="",T241="",U241=""),"待补负责人/状态/录入日","已建档；继续核对证据"))))</f>
        <v/>
      </c>
    </row>
    <row r="242" spans="32:32" ht="34" customHeight="1">
      <c r="AF242" s="9">
        <f>IF(A242="","",IF(COUNTIF($A$2:$A$301,A242)&gt;1,"线索ID重复",IF(AND(B242&lt;&gt;"",COUNTIF($B$2:$B$301,B242)&gt;1),"合作ID重复：一合作一行",IF(OR(F242="",T242="",U242=""),"待补负责人/状态/录入日","已建档；继续核对证据"))))</f>
        <v/>
      </c>
    </row>
    <row r="243" spans="32:32" ht="34" customHeight="1">
      <c r="AF243" s="9">
        <f>IF(A243="","",IF(COUNTIF($A$2:$A$301,A243)&gt;1,"线索ID重复",IF(AND(B243&lt;&gt;"",COUNTIF($B$2:$B$301,B243)&gt;1),"合作ID重复：一合作一行",IF(OR(F243="",T243="",U243=""),"待补负责人/状态/录入日","已建档；继续核对证据"))))</f>
        <v/>
      </c>
    </row>
    <row r="244" spans="32:32" ht="34" customHeight="1">
      <c r="AF244" s="9">
        <f>IF(A244="","",IF(COUNTIF($A$2:$A$301,A244)&gt;1,"线索ID重复",IF(AND(B244&lt;&gt;"",COUNTIF($B$2:$B$301,B244)&gt;1),"合作ID重复：一合作一行",IF(OR(F244="",T244="",U244=""),"待补负责人/状态/录入日","已建档；继续核对证据"))))</f>
        <v/>
      </c>
    </row>
    <row r="245" spans="32:32" ht="34" customHeight="1">
      <c r="AF245" s="9">
        <f>IF(A245="","",IF(COUNTIF($A$2:$A$301,A245)&gt;1,"线索ID重复",IF(AND(B245&lt;&gt;"",COUNTIF($B$2:$B$301,B245)&gt;1),"合作ID重复：一合作一行",IF(OR(F245="",T245="",U245=""),"待补负责人/状态/录入日","已建档；继续核对证据"))))</f>
        <v/>
      </c>
    </row>
    <row r="246" spans="32:32" ht="34" customHeight="1">
      <c r="AF246" s="9">
        <f>IF(A246="","",IF(COUNTIF($A$2:$A$301,A246)&gt;1,"线索ID重复",IF(AND(B246&lt;&gt;"",COUNTIF($B$2:$B$301,B246)&gt;1),"合作ID重复：一合作一行",IF(OR(F246="",T246="",U246=""),"待补负责人/状态/录入日","已建档；继续核对证据"))))</f>
        <v/>
      </c>
    </row>
    <row r="247" spans="32:32" ht="34" customHeight="1">
      <c r="AF247" s="9">
        <f>IF(A247="","",IF(COUNTIF($A$2:$A$301,A247)&gt;1,"线索ID重复",IF(AND(B247&lt;&gt;"",COUNTIF($B$2:$B$301,B247)&gt;1),"合作ID重复：一合作一行",IF(OR(F247="",T247="",U247=""),"待补负责人/状态/录入日","已建档；继续核对证据"))))</f>
        <v/>
      </c>
    </row>
    <row r="248" spans="32:32" ht="34" customHeight="1">
      <c r="AF248" s="9">
        <f>IF(A248="","",IF(COUNTIF($A$2:$A$301,A248)&gt;1,"线索ID重复",IF(AND(B248&lt;&gt;"",COUNTIF($B$2:$B$301,B248)&gt;1),"合作ID重复：一合作一行",IF(OR(F248="",T248="",U248=""),"待补负责人/状态/录入日","已建档；继续核对证据"))))</f>
        <v/>
      </c>
    </row>
    <row r="249" spans="32:32" ht="34" customHeight="1">
      <c r="AF249" s="9">
        <f>IF(A249="","",IF(COUNTIF($A$2:$A$301,A249)&gt;1,"线索ID重复",IF(AND(B249&lt;&gt;"",COUNTIF($B$2:$B$301,B249)&gt;1),"合作ID重复：一合作一行",IF(OR(F249="",T249="",U249=""),"待补负责人/状态/录入日","已建档；继续核对证据"))))</f>
        <v/>
      </c>
    </row>
    <row r="250" spans="32:32" ht="34" customHeight="1">
      <c r="AF250" s="9">
        <f>IF(A250="","",IF(COUNTIF($A$2:$A$301,A250)&gt;1,"线索ID重复",IF(AND(B250&lt;&gt;"",COUNTIF($B$2:$B$301,B250)&gt;1),"合作ID重复：一合作一行",IF(OR(F250="",T250="",U250=""),"待补负责人/状态/录入日","已建档；继续核对证据"))))</f>
        <v/>
      </c>
    </row>
    <row r="251" spans="32:32" ht="34" customHeight="1">
      <c r="AF251" s="9">
        <f>IF(A251="","",IF(COUNTIF($A$2:$A$301,A251)&gt;1,"线索ID重复",IF(AND(B251&lt;&gt;"",COUNTIF($B$2:$B$301,B251)&gt;1),"合作ID重复：一合作一行",IF(OR(F251="",T251="",U251=""),"待补负责人/状态/录入日","已建档；继续核对证据"))))</f>
        <v/>
      </c>
    </row>
    <row r="252" spans="32:32" ht="34" customHeight="1">
      <c r="AF252" s="9">
        <f>IF(A252="","",IF(COUNTIF($A$2:$A$301,A252)&gt;1,"线索ID重复",IF(AND(B252&lt;&gt;"",COUNTIF($B$2:$B$301,B252)&gt;1),"合作ID重复：一合作一行",IF(OR(F252="",T252="",U252=""),"待补负责人/状态/录入日","已建档；继续核对证据"))))</f>
        <v/>
      </c>
    </row>
    <row r="253" spans="32:32" ht="34" customHeight="1">
      <c r="AF253" s="9">
        <f>IF(A253="","",IF(COUNTIF($A$2:$A$301,A253)&gt;1,"线索ID重复",IF(AND(B253&lt;&gt;"",COUNTIF($B$2:$B$301,B253)&gt;1),"合作ID重复：一合作一行",IF(OR(F253="",T253="",U253=""),"待补负责人/状态/录入日","已建档；继续核对证据"))))</f>
        <v/>
      </c>
    </row>
    <row r="254" spans="32:32" ht="34" customHeight="1">
      <c r="AF254" s="9">
        <f>IF(A254="","",IF(COUNTIF($A$2:$A$301,A254)&gt;1,"线索ID重复",IF(AND(B254&lt;&gt;"",COUNTIF($B$2:$B$301,B254)&gt;1),"合作ID重复：一合作一行",IF(OR(F254="",T254="",U254=""),"待补负责人/状态/录入日","已建档；继续核对证据"))))</f>
        <v/>
      </c>
    </row>
    <row r="255" spans="32:32" ht="34" customHeight="1">
      <c r="AF255" s="9">
        <f>IF(A255="","",IF(COUNTIF($A$2:$A$301,A255)&gt;1,"线索ID重复",IF(AND(B255&lt;&gt;"",COUNTIF($B$2:$B$301,B255)&gt;1),"合作ID重复：一合作一行",IF(OR(F255="",T255="",U255=""),"待补负责人/状态/录入日","已建档；继续核对证据"))))</f>
        <v/>
      </c>
    </row>
    <row r="256" spans="32:32" ht="34" customHeight="1">
      <c r="AF256" s="9">
        <f>IF(A256="","",IF(COUNTIF($A$2:$A$301,A256)&gt;1,"线索ID重复",IF(AND(B256&lt;&gt;"",COUNTIF($B$2:$B$301,B256)&gt;1),"合作ID重复：一合作一行",IF(OR(F256="",T256="",U256=""),"待补负责人/状态/录入日","已建档；继续核对证据"))))</f>
        <v/>
      </c>
    </row>
    <row r="257" spans="32:32" ht="34" customHeight="1">
      <c r="AF257" s="9">
        <f>IF(A257="","",IF(COUNTIF($A$2:$A$301,A257)&gt;1,"线索ID重复",IF(AND(B257&lt;&gt;"",COUNTIF($B$2:$B$301,B257)&gt;1),"合作ID重复：一合作一行",IF(OR(F257="",T257="",U257=""),"待补负责人/状态/录入日","已建档；继续核对证据"))))</f>
        <v/>
      </c>
    </row>
    <row r="258" spans="32:32" ht="34" customHeight="1">
      <c r="AF258" s="9">
        <f>IF(A258="","",IF(COUNTIF($A$2:$A$301,A258)&gt;1,"线索ID重复",IF(AND(B258&lt;&gt;"",COUNTIF($B$2:$B$301,B258)&gt;1),"合作ID重复：一合作一行",IF(OR(F258="",T258="",U258=""),"待补负责人/状态/录入日","已建档；继续核对证据"))))</f>
        <v/>
      </c>
    </row>
    <row r="259" spans="32:32" ht="34" customHeight="1">
      <c r="AF259" s="9">
        <f>IF(A259="","",IF(COUNTIF($A$2:$A$301,A259)&gt;1,"线索ID重复",IF(AND(B259&lt;&gt;"",COUNTIF($B$2:$B$301,B259)&gt;1),"合作ID重复：一合作一行",IF(OR(F259="",T259="",U259=""),"待补负责人/状态/录入日","已建档；继续核对证据"))))</f>
        <v/>
      </c>
    </row>
    <row r="260" spans="32:32" ht="34" customHeight="1">
      <c r="AF260" s="9">
        <f>IF(A260="","",IF(COUNTIF($A$2:$A$301,A260)&gt;1,"线索ID重复",IF(AND(B260&lt;&gt;"",COUNTIF($B$2:$B$301,B260)&gt;1),"合作ID重复：一合作一行",IF(OR(F260="",T260="",U260=""),"待补负责人/状态/录入日","已建档；继续核对证据"))))</f>
        <v/>
      </c>
    </row>
    <row r="261" spans="32:32" ht="34" customHeight="1">
      <c r="AF261" s="9">
        <f>IF(A261="","",IF(COUNTIF($A$2:$A$301,A261)&gt;1,"线索ID重复",IF(AND(B261&lt;&gt;"",COUNTIF($B$2:$B$301,B261)&gt;1),"合作ID重复：一合作一行",IF(OR(F261="",T261="",U261=""),"待补负责人/状态/录入日","已建档；继续核对证据"))))</f>
        <v/>
      </c>
    </row>
    <row r="262" spans="32:32" ht="34" customHeight="1">
      <c r="AF262" s="9">
        <f>IF(A262="","",IF(COUNTIF($A$2:$A$301,A262)&gt;1,"线索ID重复",IF(AND(B262&lt;&gt;"",COUNTIF($B$2:$B$301,B262)&gt;1),"合作ID重复：一合作一行",IF(OR(F262="",T262="",U262=""),"待补负责人/状态/录入日","已建档；继续核对证据"))))</f>
        <v/>
      </c>
    </row>
    <row r="263" spans="32:32" ht="34" customHeight="1">
      <c r="AF263" s="9">
        <f>IF(A263="","",IF(COUNTIF($A$2:$A$301,A263)&gt;1,"线索ID重复",IF(AND(B263&lt;&gt;"",COUNTIF($B$2:$B$301,B263)&gt;1),"合作ID重复：一合作一行",IF(OR(F263="",T263="",U263=""),"待补负责人/状态/录入日","已建档；继续核对证据"))))</f>
        <v/>
      </c>
    </row>
    <row r="264" spans="32:32" ht="34" customHeight="1">
      <c r="AF264" s="9">
        <f>IF(A264="","",IF(COUNTIF($A$2:$A$301,A264)&gt;1,"线索ID重复",IF(AND(B264&lt;&gt;"",COUNTIF($B$2:$B$301,B264)&gt;1),"合作ID重复：一合作一行",IF(OR(F264="",T264="",U264=""),"待补负责人/状态/录入日","已建档；继续核对证据"))))</f>
        <v/>
      </c>
    </row>
    <row r="265" spans="32:32" ht="34" customHeight="1">
      <c r="AF265" s="9">
        <f>IF(A265="","",IF(COUNTIF($A$2:$A$301,A265)&gt;1,"线索ID重复",IF(AND(B265&lt;&gt;"",COUNTIF($B$2:$B$301,B265)&gt;1),"合作ID重复：一合作一行",IF(OR(F265="",T265="",U265=""),"待补负责人/状态/录入日","已建档；继续核对证据"))))</f>
        <v/>
      </c>
    </row>
    <row r="266" spans="32:32" ht="34" customHeight="1">
      <c r="AF266" s="9">
        <f>IF(A266="","",IF(COUNTIF($A$2:$A$301,A266)&gt;1,"线索ID重复",IF(AND(B266&lt;&gt;"",COUNTIF($B$2:$B$301,B266)&gt;1),"合作ID重复：一合作一行",IF(OR(F266="",T266="",U266=""),"待补负责人/状态/录入日","已建档；继续核对证据"))))</f>
        <v/>
      </c>
    </row>
    <row r="267" spans="32:32" ht="34" customHeight="1">
      <c r="AF267" s="9">
        <f>IF(A267="","",IF(COUNTIF($A$2:$A$301,A267)&gt;1,"线索ID重复",IF(AND(B267&lt;&gt;"",COUNTIF($B$2:$B$301,B267)&gt;1),"合作ID重复：一合作一行",IF(OR(F267="",T267="",U267=""),"待补负责人/状态/录入日","已建档；继续核对证据"))))</f>
        <v/>
      </c>
    </row>
    <row r="268" spans="32:32" ht="34" customHeight="1">
      <c r="AF268" s="9">
        <f>IF(A268="","",IF(COUNTIF($A$2:$A$301,A268)&gt;1,"线索ID重复",IF(AND(B268&lt;&gt;"",COUNTIF($B$2:$B$301,B268)&gt;1),"合作ID重复：一合作一行",IF(OR(F268="",T268="",U268=""),"待补负责人/状态/录入日","已建档；继续核对证据"))))</f>
        <v/>
      </c>
    </row>
    <row r="269" spans="32:32" ht="34" customHeight="1">
      <c r="AF269" s="9">
        <f>IF(A269="","",IF(COUNTIF($A$2:$A$301,A269)&gt;1,"线索ID重复",IF(AND(B269&lt;&gt;"",COUNTIF($B$2:$B$301,B269)&gt;1),"合作ID重复：一合作一行",IF(OR(F269="",T269="",U269=""),"待补负责人/状态/录入日","已建档；继续核对证据"))))</f>
        <v/>
      </c>
    </row>
    <row r="270" spans="32:32" ht="34" customHeight="1">
      <c r="AF270" s="9">
        <f>IF(A270="","",IF(COUNTIF($A$2:$A$301,A270)&gt;1,"线索ID重复",IF(AND(B270&lt;&gt;"",COUNTIF($B$2:$B$301,B270)&gt;1),"合作ID重复：一合作一行",IF(OR(F270="",T270="",U270=""),"待补负责人/状态/录入日","已建档；继续核对证据"))))</f>
        <v/>
      </c>
    </row>
    <row r="271" spans="32:32" ht="34" customHeight="1">
      <c r="AF271" s="9">
        <f>IF(A271="","",IF(COUNTIF($A$2:$A$301,A271)&gt;1,"线索ID重复",IF(AND(B271&lt;&gt;"",COUNTIF($B$2:$B$301,B271)&gt;1),"合作ID重复：一合作一行",IF(OR(F271="",T271="",U271=""),"待补负责人/状态/录入日","已建档；继续核对证据"))))</f>
        <v/>
      </c>
    </row>
    <row r="272" spans="32:32" ht="34" customHeight="1">
      <c r="AF272" s="9">
        <f>IF(A272="","",IF(COUNTIF($A$2:$A$301,A272)&gt;1,"线索ID重复",IF(AND(B272&lt;&gt;"",COUNTIF($B$2:$B$301,B272)&gt;1),"合作ID重复：一合作一行",IF(OR(F272="",T272="",U272=""),"待补负责人/状态/录入日","已建档；继续核对证据"))))</f>
        <v/>
      </c>
    </row>
    <row r="273" spans="32:32" ht="34" customHeight="1">
      <c r="AF273" s="9">
        <f>IF(A273="","",IF(COUNTIF($A$2:$A$301,A273)&gt;1,"线索ID重复",IF(AND(B273&lt;&gt;"",COUNTIF($B$2:$B$301,B273)&gt;1),"合作ID重复：一合作一行",IF(OR(F273="",T273="",U273=""),"待补负责人/状态/录入日","已建档；继续核对证据"))))</f>
        <v/>
      </c>
    </row>
    <row r="274" spans="32:32" ht="34" customHeight="1">
      <c r="AF274" s="9">
        <f>IF(A274="","",IF(COUNTIF($A$2:$A$301,A274)&gt;1,"线索ID重复",IF(AND(B274&lt;&gt;"",COUNTIF($B$2:$B$301,B274)&gt;1),"合作ID重复：一合作一行",IF(OR(F274="",T274="",U274=""),"待补负责人/状态/录入日","已建档；继续核对证据"))))</f>
        <v/>
      </c>
    </row>
    <row r="275" spans="32:32" ht="34" customHeight="1">
      <c r="AF275" s="9">
        <f>IF(A275="","",IF(COUNTIF($A$2:$A$301,A275)&gt;1,"线索ID重复",IF(AND(B275&lt;&gt;"",COUNTIF($B$2:$B$301,B275)&gt;1),"合作ID重复：一合作一行",IF(OR(F275="",T275="",U275=""),"待补负责人/状态/录入日","已建档；继续核对证据"))))</f>
        <v/>
      </c>
    </row>
    <row r="276" spans="32:32" ht="34" customHeight="1">
      <c r="AF276" s="9">
        <f>IF(A276="","",IF(COUNTIF($A$2:$A$301,A276)&gt;1,"线索ID重复",IF(AND(B276&lt;&gt;"",COUNTIF($B$2:$B$301,B276)&gt;1),"合作ID重复：一合作一行",IF(OR(F276="",T276="",U276=""),"待补负责人/状态/录入日","已建档；继续核对证据"))))</f>
        <v/>
      </c>
    </row>
    <row r="277" spans="32:32" ht="34" customHeight="1">
      <c r="AF277" s="9">
        <f>IF(A277="","",IF(COUNTIF($A$2:$A$301,A277)&gt;1,"线索ID重复",IF(AND(B277&lt;&gt;"",COUNTIF($B$2:$B$301,B277)&gt;1),"合作ID重复：一合作一行",IF(OR(F277="",T277="",U277=""),"待补负责人/状态/录入日","已建档；继续核对证据"))))</f>
        <v/>
      </c>
    </row>
    <row r="278" spans="32:32" ht="34" customHeight="1">
      <c r="AF278" s="9">
        <f>IF(A278="","",IF(COUNTIF($A$2:$A$301,A278)&gt;1,"线索ID重复",IF(AND(B278&lt;&gt;"",COUNTIF($B$2:$B$301,B278)&gt;1),"合作ID重复：一合作一行",IF(OR(F278="",T278="",U278=""),"待补负责人/状态/录入日","已建档；继续核对证据"))))</f>
        <v/>
      </c>
    </row>
    <row r="279" spans="32:32" ht="34" customHeight="1">
      <c r="AF279" s="9">
        <f>IF(A279="","",IF(COUNTIF($A$2:$A$301,A279)&gt;1,"线索ID重复",IF(AND(B279&lt;&gt;"",COUNTIF($B$2:$B$301,B279)&gt;1),"合作ID重复：一合作一行",IF(OR(F279="",T279="",U279=""),"待补负责人/状态/录入日","已建档；继续核对证据"))))</f>
        <v/>
      </c>
    </row>
    <row r="280" spans="32:32" ht="34" customHeight="1">
      <c r="AF280" s="9">
        <f>IF(A280="","",IF(COUNTIF($A$2:$A$301,A280)&gt;1,"线索ID重复",IF(AND(B280&lt;&gt;"",COUNTIF($B$2:$B$301,B280)&gt;1),"合作ID重复：一合作一行",IF(OR(F280="",T280="",U280=""),"待补负责人/状态/录入日","已建档；继续核对证据"))))</f>
        <v/>
      </c>
    </row>
    <row r="281" spans="32:32" ht="34" customHeight="1">
      <c r="AF281" s="9">
        <f>IF(A281="","",IF(COUNTIF($A$2:$A$301,A281)&gt;1,"线索ID重复",IF(AND(B281&lt;&gt;"",COUNTIF($B$2:$B$301,B281)&gt;1),"合作ID重复：一合作一行",IF(OR(F281="",T281="",U281=""),"待补负责人/状态/录入日","已建档；继续核对证据"))))</f>
        <v/>
      </c>
    </row>
    <row r="282" spans="32:32" ht="34" customHeight="1">
      <c r="AF282" s="9">
        <f>IF(A282="","",IF(COUNTIF($A$2:$A$301,A282)&gt;1,"线索ID重复",IF(AND(B282&lt;&gt;"",COUNTIF($B$2:$B$301,B282)&gt;1),"合作ID重复：一合作一行",IF(OR(F282="",T282="",U282=""),"待补负责人/状态/录入日","已建档；继续核对证据"))))</f>
        <v/>
      </c>
    </row>
    <row r="283" spans="32:32" ht="34" customHeight="1">
      <c r="AF283" s="9">
        <f>IF(A283="","",IF(COUNTIF($A$2:$A$301,A283)&gt;1,"线索ID重复",IF(AND(B283&lt;&gt;"",COUNTIF($B$2:$B$301,B283)&gt;1),"合作ID重复：一合作一行",IF(OR(F283="",T283="",U283=""),"待补负责人/状态/录入日","已建档；继续核对证据"))))</f>
        <v/>
      </c>
    </row>
    <row r="284" spans="32:32" ht="34" customHeight="1">
      <c r="AF284" s="9">
        <f>IF(A284="","",IF(COUNTIF($A$2:$A$301,A284)&gt;1,"线索ID重复",IF(AND(B284&lt;&gt;"",COUNTIF($B$2:$B$301,B284)&gt;1),"合作ID重复：一合作一行",IF(OR(F284="",T284="",U284=""),"待补负责人/状态/录入日","已建档；继续核对证据"))))</f>
        <v/>
      </c>
    </row>
    <row r="285" spans="32:32" ht="34" customHeight="1">
      <c r="AF285" s="9">
        <f>IF(A285="","",IF(COUNTIF($A$2:$A$301,A285)&gt;1,"线索ID重复",IF(AND(B285&lt;&gt;"",COUNTIF($B$2:$B$301,B285)&gt;1),"合作ID重复：一合作一行",IF(OR(F285="",T285="",U285=""),"待补负责人/状态/录入日","已建档；继续核对证据"))))</f>
        <v/>
      </c>
    </row>
    <row r="286" spans="32:32" ht="34" customHeight="1">
      <c r="AF286" s="9">
        <f>IF(A286="","",IF(COUNTIF($A$2:$A$301,A286)&gt;1,"线索ID重复",IF(AND(B286&lt;&gt;"",COUNTIF($B$2:$B$301,B286)&gt;1),"合作ID重复：一合作一行",IF(OR(F286="",T286="",U286=""),"待补负责人/状态/录入日","已建档；继续核对证据"))))</f>
        <v/>
      </c>
    </row>
    <row r="287" spans="32:32" ht="34" customHeight="1">
      <c r="AF287" s="9">
        <f>IF(A287="","",IF(COUNTIF($A$2:$A$301,A287)&gt;1,"线索ID重复",IF(AND(B287&lt;&gt;"",COUNTIF($B$2:$B$301,B287)&gt;1),"合作ID重复：一合作一行",IF(OR(F287="",T287="",U287=""),"待补负责人/状态/录入日","已建档；继续核对证据"))))</f>
        <v/>
      </c>
    </row>
    <row r="288" spans="32:32" ht="34" customHeight="1">
      <c r="AF288" s="9">
        <f>IF(A288="","",IF(COUNTIF($A$2:$A$301,A288)&gt;1,"线索ID重复",IF(AND(B288&lt;&gt;"",COUNTIF($B$2:$B$301,B288)&gt;1),"合作ID重复：一合作一行",IF(OR(F288="",T288="",U288=""),"待补负责人/状态/录入日","已建档；继续核对证据"))))</f>
        <v/>
      </c>
    </row>
    <row r="289" spans="32:32" ht="34" customHeight="1">
      <c r="AF289" s="9">
        <f>IF(A289="","",IF(COUNTIF($A$2:$A$301,A289)&gt;1,"线索ID重复",IF(AND(B289&lt;&gt;"",COUNTIF($B$2:$B$301,B289)&gt;1),"合作ID重复：一合作一行",IF(OR(F289="",T289="",U289=""),"待补负责人/状态/录入日","已建档；继续核对证据"))))</f>
        <v/>
      </c>
    </row>
    <row r="290" spans="32:32" ht="34" customHeight="1">
      <c r="AF290" s="9">
        <f>IF(A290="","",IF(COUNTIF($A$2:$A$301,A290)&gt;1,"线索ID重复",IF(AND(B290&lt;&gt;"",COUNTIF($B$2:$B$301,B290)&gt;1),"合作ID重复：一合作一行",IF(OR(F290="",T290="",U290=""),"待补负责人/状态/录入日","已建档；继续核对证据"))))</f>
        <v/>
      </c>
    </row>
    <row r="291" spans="32:32" ht="34" customHeight="1">
      <c r="AF291" s="9">
        <f>IF(A291="","",IF(COUNTIF($A$2:$A$301,A291)&gt;1,"线索ID重复",IF(AND(B291&lt;&gt;"",COUNTIF($B$2:$B$301,B291)&gt;1),"合作ID重复：一合作一行",IF(OR(F291="",T291="",U291=""),"待补负责人/状态/录入日","已建档；继续核对证据"))))</f>
        <v/>
      </c>
    </row>
    <row r="292" spans="32:32" ht="34" customHeight="1">
      <c r="AF292" s="9">
        <f>IF(A292="","",IF(COUNTIF($A$2:$A$301,A292)&gt;1,"线索ID重复",IF(AND(B292&lt;&gt;"",COUNTIF($B$2:$B$301,B292)&gt;1),"合作ID重复：一合作一行",IF(OR(F292="",T292="",U292=""),"待补负责人/状态/录入日","已建档；继续核对证据"))))</f>
        <v/>
      </c>
    </row>
    <row r="293" spans="32:32" ht="34" customHeight="1">
      <c r="AF293" s="9">
        <f>IF(A293="","",IF(COUNTIF($A$2:$A$301,A293)&gt;1,"线索ID重复",IF(AND(B293&lt;&gt;"",COUNTIF($B$2:$B$301,B293)&gt;1),"合作ID重复：一合作一行",IF(OR(F293="",T293="",U293=""),"待补负责人/状态/录入日","已建档；继续核对证据"))))</f>
        <v/>
      </c>
    </row>
    <row r="294" spans="32:32" ht="34" customHeight="1">
      <c r="AF294" s="9">
        <f>IF(A294="","",IF(COUNTIF($A$2:$A$301,A294)&gt;1,"线索ID重复",IF(AND(B294&lt;&gt;"",COUNTIF($B$2:$B$301,B294)&gt;1),"合作ID重复：一合作一行",IF(OR(F294="",T294="",U294=""),"待补负责人/状态/录入日","已建档；继续核对证据"))))</f>
        <v/>
      </c>
    </row>
    <row r="295" spans="32:32" ht="34" customHeight="1">
      <c r="AF295" s="9">
        <f>IF(A295="","",IF(COUNTIF($A$2:$A$301,A295)&gt;1,"线索ID重复",IF(AND(B295&lt;&gt;"",COUNTIF($B$2:$B$301,B295)&gt;1),"合作ID重复：一合作一行",IF(OR(F295="",T295="",U295=""),"待补负责人/状态/录入日","已建档；继续核对证据"))))</f>
        <v/>
      </c>
    </row>
    <row r="296" spans="32:32" ht="34" customHeight="1">
      <c r="AF296" s="9">
        <f>IF(A296="","",IF(COUNTIF($A$2:$A$301,A296)&gt;1,"线索ID重复",IF(AND(B296&lt;&gt;"",COUNTIF($B$2:$B$301,B296)&gt;1),"合作ID重复：一合作一行",IF(OR(F296="",T296="",U296=""),"待补负责人/状态/录入日","已建档；继续核对证据"))))</f>
        <v/>
      </c>
    </row>
    <row r="297" spans="32:32" ht="34" customHeight="1">
      <c r="AF297" s="9">
        <f>IF(A297="","",IF(COUNTIF($A$2:$A$301,A297)&gt;1,"线索ID重复",IF(AND(B297&lt;&gt;"",COUNTIF($B$2:$B$301,B297)&gt;1),"合作ID重复：一合作一行",IF(OR(F297="",T297="",U297=""),"待补负责人/状态/录入日","已建档；继续核对证据"))))</f>
        <v/>
      </c>
    </row>
    <row r="298" spans="32:32" ht="34" customHeight="1">
      <c r="AF298" s="9">
        <f>IF(A298="","",IF(COUNTIF($A$2:$A$301,A298)&gt;1,"线索ID重复",IF(AND(B298&lt;&gt;"",COUNTIF($B$2:$B$301,B298)&gt;1),"合作ID重复：一合作一行",IF(OR(F298="",T298="",U298=""),"待补负责人/状态/录入日","已建档；继续核对证据"))))</f>
        <v/>
      </c>
    </row>
    <row r="299" spans="32:32" ht="34" customHeight="1">
      <c r="AF299" s="9">
        <f>IF(A299="","",IF(COUNTIF($A$2:$A$301,A299)&gt;1,"线索ID重复",IF(AND(B299&lt;&gt;"",COUNTIF($B$2:$B$301,B299)&gt;1),"合作ID重复：一合作一行",IF(OR(F299="",T299="",U299=""),"待补负责人/状态/录入日","已建档；继续核对证据"))))</f>
        <v/>
      </c>
    </row>
    <row r="300" spans="32:32" ht="34" customHeight="1">
      <c r="AF300" s="9">
        <f>IF(A300="","",IF(COUNTIF($A$2:$A$301,A300)&gt;1,"线索ID重复",IF(AND(B300&lt;&gt;"",COUNTIF($B$2:$B$301,B300)&gt;1),"合作ID重复：一合作一行",IF(OR(F300="",T300="",U300=""),"待补负责人/状态/录入日","已建档；继续核对证据"))))</f>
        <v/>
      </c>
    </row>
    <row r="301" spans="32:32" ht="34" customHeight="1">
      <c r="AF301" s="9">
        <f>IF(A301="","",IF(COUNTIF($A$2:$A$301,A301)&gt;1,"线索ID重复",IF(AND(B301&lt;&gt;"",COUNTIF($B$2:$B$301,B301)&gt;1),"合作ID重复：一合作一行",IF(OR(F301="",T301="",U301=""),"待补负责人/状态/录入日","已建档；继续核对证据"))))</f>
        <v/>
      </c>
    </row>
  </sheetData>
  <autoFilter ref="A1:AF301"/>
  <conditionalFormatting sqref="A2:AF301">
    <cfRule type="expression" dxfId="0" priority="1">
      <formula>AND($A2&lt;&gt;"",$W2&lt;&gt;"",$W2&lt;TODAY(),$T2&lt;&gt;"复盘完成",$T2&lt;&gt;"终止")</formula>
    </cfRule>
  </conditionalFormatting>
  <dataValidations count="17">
    <dataValidation type="date" allowBlank="1" showInputMessage="1" showErrorMessage="1" errorTitle="日期不正确" error="请填写 2000–2100 年间有效日期。" promptTitle="真实业务日期" prompt="按 yyyy-mm-dd 填写；不知道先留空。" sqref="K2:K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L2:L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U2:U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V2:V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W2:W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X2:X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AC2:AC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AD2:AD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AE2:AE301">
      <formula1>36526</formula1>
      <formula2>73415</formula2>
    </dataValidation>
    <dataValidation type="whole" allowBlank="1" showInputMessage="1" showErrorMessage="1" errorTitle="输入范围不正确" error="请填写非负数；确认没有费用时填 0，未知时留空。" sqref="J2:J301">
      <formula1>0</formula1>
      <formula2>1000000000</formula2>
    </dataValidation>
    <dataValidation type="whole" allowBlank="1" showInputMessage="1" showErrorMessage="1" errorTitle="输入范围不正确" error="请填写非负数；确认没有费用时填 0，未知时留空。" sqref="M2:M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R2:R301">
      <formula1>0</formula1>
      <formula2>1000000000</formula2>
    </dataValidation>
    <dataValidation type="decimal" allowBlank="1" showInputMessage="1" showErrorMessage="1" errorTitle="输入范围不正确" error="百分比请输入 0%–100%。" sqref="S2:S301">
      <formula1>0</formula1>
      <formula2>1</formula2>
    </dataValidation>
    <dataValidation type="whole" allowBlank="1" showInputMessage="1" showErrorMessage="1" sqref="I2:I301">
      <formula1>1</formula1>
      <formula2>5</formula2>
    </dataValidation>
    <dataValidation type="list" allowBlank="1" showInputMessage="1" showErrorMessage="1" errorTitle="请选择有效状态" error="从下拉选项选择；参数字典中维护选项。" sqref="Q2:Q301">
      <formula1>CollabType</formula1>
    </dataValidation>
    <dataValidation type="list" allowBlank="1" showInputMessage="1" showErrorMessage="1" errorTitle="请选择有效状态" error="从下拉选项选择；参数字典中维护选项。" sqref="T2:T301">
      <formula1>LeadStatus</formula1>
    </dataValidation>
    <dataValidation type="list" allowBlank="1" showInputMessage="1" showErrorMessage="1" errorTitle="请选择有效状态" error="从下拉选项选择；参数字典中维护选项。" sqref="Z2:Z301">
      <formula1>ApprovalStatus</formula1>
    </dataValidation>
  </dataValidations>
  <pageMargins left="0.7" right="0.7" top="0.75" bottom="0.75" header="0.3" footer="0.3"/>
  <pageSetup fitToHeight="0" orientation="landscape"/>
  <headerFooter>
    <oddFooter>&amp;L达人带货商务 · 空白模板&amp;R第 &amp;P / &amp;N 页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89F8D"/>
    <pageSetUpPr fitToPage="1"/>
  </sheetPr>
  <dimension ref="A1:Z30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4" customHeight="1"/>
  <cols>
    <col min="1" max="4" width="18.7109375" style="1" customWidth="1"/>
    <col min="5" max="5" width="30.7109375" style="1" customWidth="1"/>
    <col min="6" max="8" width="14.7109375" style="2" customWidth="1"/>
    <col min="9" max="10" width="18.7109375" style="1" customWidth="1"/>
    <col min="11" max="12" width="14.7109375" style="2" customWidth="1"/>
    <col min="13" max="13" width="35.7109375" style="1" customWidth="1"/>
    <col min="14" max="14" width="14.7109375" style="2" customWidth="1"/>
    <col min="15" max="17" width="17.7109375" style="7" customWidth="1"/>
    <col min="18" max="19" width="18.7109375" style="1" customWidth="1"/>
    <col min="20" max="20" width="14.7109375" style="2" customWidth="1"/>
    <col min="21" max="21" width="40.7109375" style="1" customWidth="1"/>
    <col min="22" max="22" width="18.7109375" style="1" customWidth="1"/>
    <col min="23" max="23" width="32.7109375" style="1" customWidth="1"/>
    <col min="24" max="25" width="18.7109375" style="1" customWidth="1"/>
    <col min="26" max="26" width="32.7109375" style="1" customWidth="1"/>
  </cols>
  <sheetData>
    <row r="1" spans="1:26" ht="48" customHeight="1">
      <c r="A1" s="3" t="s">
        <v>147</v>
      </c>
      <c r="B1" s="3" t="s">
        <v>116</v>
      </c>
      <c r="C1" s="3" t="s">
        <v>117</v>
      </c>
      <c r="D1" s="3" t="s">
        <v>120</v>
      </c>
      <c r="E1" s="3" t="s">
        <v>148</v>
      </c>
      <c r="F1" s="3" t="s">
        <v>149</v>
      </c>
      <c r="G1" s="3" t="s">
        <v>150</v>
      </c>
      <c r="H1" s="3" t="s">
        <v>151</v>
      </c>
      <c r="I1" s="3" t="s">
        <v>152</v>
      </c>
      <c r="J1" s="3" t="s">
        <v>153</v>
      </c>
      <c r="K1" s="3" t="s">
        <v>154</v>
      </c>
      <c r="L1" s="3" t="s">
        <v>155</v>
      </c>
      <c r="M1" s="3" t="s">
        <v>156</v>
      </c>
      <c r="N1" s="3" t="s">
        <v>138</v>
      </c>
      <c r="O1" s="3" t="s">
        <v>157</v>
      </c>
      <c r="P1" s="3" t="s">
        <v>158</v>
      </c>
      <c r="Q1" s="3" t="s">
        <v>159</v>
      </c>
      <c r="R1" s="3" t="s">
        <v>160</v>
      </c>
      <c r="S1" s="3" t="s">
        <v>134</v>
      </c>
      <c r="T1" s="3" t="s">
        <v>137</v>
      </c>
      <c r="U1" s="3" t="s">
        <v>161</v>
      </c>
      <c r="V1" s="3" t="s">
        <v>141</v>
      </c>
      <c r="W1" s="3" t="s">
        <v>162</v>
      </c>
      <c r="X1" s="3" t="s">
        <v>163</v>
      </c>
      <c r="Y1" s="3" t="s">
        <v>164</v>
      </c>
      <c r="Z1" s="3" t="s">
        <v>146</v>
      </c>
    </row>
    <row r="2" spans="1:26" ht="34" customHeight="1">
      <c r="R2" s="10">
        <f>IF(A2="","",IF(COUNT(O2:Q2)&lt;3,"待补充",IF(MIN(O2:Q2)&lt;0,"检查输入",SUM(O2:Q2))))</f>
        <v/>
      </c>
      <c r="Z2" s="9">
        <f>IF(A2="","",IF(COUNTIF($A$2:$A$301,A2)&gt;1,"寄样单ID重复",IF(OR(B2="",D2="",S2=""),"待补合作/负责人/状态",IF(COUNTIF('达人线索与合作'!$B$2:$B$301,B2)&lt;&gt;1,"合作ID未唯一匹配","已关联；核对审批与签收"))))</f>
        <v/>
      </c>
    </row>
    <row r="3" spans="1:26" ht="34" customHeight="1">
      <c r="R3" s="10">
        <f>IF(A3="","",IF(COUNT(O3:Q3)&lt;3,"待补充",IF(MIN(O3:Q3)&lt;0,"检查输入",SUM(O3:Q3))))</f>
        <v/>
      </c>
      <c r="Z3" s="9">
        <f>IF(A3="","",IF(COUNTIF($A$2:$A$301,A3)&gt;1,"寄样单ID重复",IF(OR(B3="",D3="",S3=""),"待补合作/负责人/状态",IF(COUNTIF('达人线索与合作'!$B$2:$B$301,B3)&lt;&gt;1,"合作ID未唯一匹配","已关联；核对审批与签收"))))</f>
        <v/>
      </c>
    </row>
    <row r="4" spans="1:26" ht="34" customHeight="1">
      <c r="R4" s="10">
        <f>IF(A4="","",IF(COUNT(O4:Q4)&lt;3,"待补充",IF(MIN(O4:Q4)&lt;0,"检查输入",SUM(O4:Q4))))</f>
        <v/>
      </c>
      <c r="Z4" s="9">
        <f>IF(A4="","",IF(COUNTIF($A$2:$A$301,A4)&gt;1,"寄样单ID重复",IF(OR(B4="",D4="",S4=""),"待补合作/负责人/状态",IF(COUNTIF('达人线索与合作'!$B$2:$B$301,B4)&lt;&gt;1,"合作ID未唯一匹配","已关联；核对审批与签收"))))</f>
        <v/>
      </c>
    </row>
    <row r="5" spans="1:26" ht="34" customHeight="1">
      <c r="R5" s="10">
        <f>IF(A5="","",IF(COUNT(O5:Q5)&lt;3,"待补充",IF(MIN(O5:Q5)&lt;0,"检查输入",SUM(O5:Q5))))</f>
        <v/>
      </c>
      <c r="Z5" s="9">
        <f>IF(A5="","",IF(COUNTIF($A$2:$A$301,A5)&gt;1,"寄样单ID重复",IF(OR(B5="",D5="",S5=""),"待补合作/负责人/状态",IF(COUNTIF('达人线索与合作'!$B$2:$B$301,B5)&lt;&gt;1,"合作ID未唯一匹配","已关联；核对审批与签收"))))</f>
        <v/>
      </c>
    </row>
    <row r="6" spans="1:26" ht="34" customHeight="1">
      <c r="R6" s="10">
        <f>IF(A6="","",IF(COUNT(O6:Q6)&lt;3,"待补充",IF(MIN(O6:Q6)&lt;0,"检查输入",SUM(O6:Q6))))</f>
        <v/>
      </c>
      <c r="Z6" s="9">
        <f>IF(A6="","",IF(COUNTIF($A$2:$A$301,A6)&gt;1,"寄样单ID重复",IF(OR(B6="",D6="",S6=""),"待补合作/负责人/状态",IF(COUNTIF('达人线索与合作'!$B$2:$B$301,B6)&lt;&gt;1,"合作ID未唯一匹配","已关联；核对审批与签收"))))</f>
        <v/>
      </c>
    </row>
    <row r="7" spans="1:26" ht="34" customHeight="1">
      <c r="R7" s="10">
        <f>IF(A7="","",IF(COUNT(O7:Q7)&lt;3,"待补充",IF(MIN(O7:Q7)&lt;0,"检查输入",SUM(O7:Q7))))</f>
        <v/>
      </c>
      <c r="Z7" s="9">
        <f>IF(A7="","",IF(COUNTIF($A$2:$A$301,A7)&gt;1,"寄样单ID重复",IF(OR(B7="",D7="",S7=""),"待补合作/负责人/状态",IF(COUNTIF('达人线索与合作'!$B$2:$B$301,B7)&lt;&gt;1,"合作ID未唯一匹配","已关联；核对审批与签收"))))</f>
        <v/>
      </c>
    </row>
    <row r="8" spans="1:26" ht="34" customHeight="1">
      <c r="R8" s="10">
        <f>IF(A8="","",IF(COUNT(O8:Q8)&lt;3,"待补充",IF(MIN(O8:Q8)&lt;0,"检查输入",SUM(O8:Q8))))</f>
        <v/>
      </c>
      <c r="Z8" s="9">
        <f>IF(A8="","",IF(COUNTIF($A$2:$A$301,A8)&gt;1,"寄样单ID重复",IF(OR(B8="",D8="",S8=""),"待补合作/负责人/状态",IF(COUNTIF('达人线索与合作'!$B$2:$B$301,B8)&lt;&gt;1,"合作ID未唯一匹配","已关联；核对审批与签收"))))</f>
        <v/>
      </c>
    </row>
    <row r="9" spans="1:26" ht="34" customHeight="1">
      <c r="R9" s="10">
        <f>IF(A9="","",IF(COUNT(O9:Q9)&lt;3,"待补充",IF(MIN(O9:Q9)&lt;0,"检查输入",SUM(O9:Q9))))</f>
        <v/>
      </c>
      <c r="Z9" s="9">
        <f>IF(A9="","",IF(COUNTIF($A$2:$A$301,A9)&gt;1,"寄样单ID重复",IF(OR(B9="",D9="",S9=""),"待补合作/负责人/状态",IF(COUNTIF('达人线索与合作'!$B$2:$B$301,B9)&lt;&gt;1,"合作ID未唯一匹配","已关联；核对审批与签收"))))</f>
        <v/>
      </c>
    </row>
    <row r="10" spans="1:26" ht="34" customHeight="1">
      <c r="R10" s="10">
        <f>IF(A10="","",IF(COUNT(O10:Q10)&lt;3,"待补充",IF(MIN(O10:Q10)&lt;0,"检查输入",SUM(O10:Q10))))</f>
        <v/>
      </c>
      <c r="Z10" s="9">
        <f>IF(A10="","",IF(COUNTIF($A$2:$A$301,A10)&gt;1,"寄样单ID重复",IF(OR(B10="",D10="",S10=""),"待补合作/负责人/状态",IF(COUNTIF('达人线索与合作'!$B$2:$B$301,B10)&lt;&gt;1,"合作ID未唯一匹配","已关联；核对审批与签收"))))</f>
        <v/>
      </c>
    </row>
    <row r="11" spans="1:26" ht="34" customHeight="1">
      <c r="R11" s="10">
        <f>IF(A11="","",IF(COUNT(O11:Q11)&lt;3,"待补充",IF(MIN(O11:Q11)&lt;0,"检查输入",SUM(O11:Q11))))</f>
        <v/>
      </c>
      <c r="Z11" s="9">
        <f>IF(A11="","",IF(COUNTIF($A$2:$A$301,A11)&gt;1,"寄样单ID重复",IF(OR(B11="",D11="",S11=""),"待补合作/负责人/状态",IF(COUNTIF('达人线索与合作'!$B$2:$B$301,B11)&lt;&gt;1,"合作ID未唯一匹配","已关联；核对审批与签收"))))</f>
        <v/>
      </c>
    </row>
    <row r="12" spans="1:26" ht="34" customHeight="1">
      <c r="R12" s="10">
        <f>IF(A12="","",IF(COUNT(O12:Q12)&lt;3,"待补充",IF(MIN(O12:Q12)&lt;0,"检查输入",SUM(O12:Q12))))</f>
        <v/>
      </c>
      <c r="Z12" s="9">
        <f>IF(A12="","",IF(COUNTIF($A$2:$A$301,A12)&gt;1,"寄样单ID重复",IF(OR(B12="",D12="",S12=""),"待补合作/负责人/状态",IF(COUNTIF('达人线索与合作'!$B$2:$B$301,B12)&lt;&gt;1,"合作ID未唯一匹配","已关联；核对审批与签收"))))</f>
        <v/>
      </c>
    </row>
    <row r="13" spans="1:26" ht="34" customHeight="1">
      <c r="R13" s="10">
        <f>IF(A13="","",IF(COUNT(O13:Q13)&lt;3,"待补充",IF(MIN(O13:Q13)&lt;0,"检查输入",SUM(O13:Q13))))</f>
        <v/>
      </c>
      <c r="Z13" s="9">
        <f>IF(A13="","",IF(COUNTIF($A$2:$A$301,A13)&gt;1,"寄样单ID重复",IF(OR(B13="",D13="",S13=""),"待补合作/负责人/状态",IF(COUNTIF('达人线索与合作'!$B$2:$B$301,B13)&lt;&gt;1,"合作ID未唯一匹配","已关联；核对审批与签收"))))</f>
        <v/>
      </c>
    </row>
    <row r="14" spans="1:26" ht="34" customHeight="1">
      <c r="R14" s="10">
        <f>IF(A14="","",IF(COUNT(O14:Q14)&lt;3,"待补充",IF(MIN(O14:Q14)&lt;0,"检查输入",SUM(O14:Q14))))</f>
        <v/>
      </c>
      <c r="Z14" s="9">
        <f>IF(A14="","",IF(COUNTIF($A$2:$A$301,A14)&gt;1,"寄样单ID重复",IF(OR(B14="",D14="",S14=""),"待补合作/负责人/状态",IF(COUNTIF('达人线索与合作'!$B$2:$B$301,B14)&lt;&gt;1,"合作ID未唯一匹配","已关联；核对审批与签收"))))</f>
        <v/>
      </c>
    </row>
    <row r="15" spans="1:26" ht="34" customHeight="1">
      <c r="R15" s="10">
        <f>IF(A15="","",IF(COUNT(O15:Q15)&lt;3,"待补充",IF(MIN(O15:Q15)&lt;0,"检查输入",SUM(O15:Q15))))</f>
        <v/>
      </c>
      <c r="Z15" s="9">
        <f>IF(A15="","",IF(COUNTIF($A$2:$A$301,A15)&gt;1,"寄样单ID重复",IF(OR(B15="",D15="",S15=""),"待补合作/负责人/状态",IF(COUNTIF('达人线索与合作'!$B$2:$B$301,B15)&lt;&gt;1,"合作ID未唯一匹配","已关联；核对审批与签收"))))</f>
        <v/>
      </c>
    </row>
    <row r="16" spans="1:26" ht="34" customHeight="1">
      <c r="R16" s="10">
        <f>IF(A16="","",IF(COUNT(O16:Q16)&lt;3,"待补充",IF(MIN(O16:Q16)&lt;0,"检查输入",SUM(O16:Q16))))</f>
        <v/>
      </c>
      <c r="Z16" s="9">
        <f>IF(A16="","",IF(COUNTIF($A$2:$A$301,A16)&gt;1,"寄样单ID重复",IF(OR(B16="",D16="",S16=""),"待补合作/负责人/状态",IF(COUNTIF('达人线索与合作'!$B$2:$B$301,B16)&lt;&gt;1,"合作ID未唯一匹配","已关联；核对审批与签收"))))</f>
        <v/>
      </c>
    </row>
    <row r="17" spans="18:26" ht="34" customHeight="1">
      <c r="R17" s="10">
        <f>IF(A17="","",IF(COUNT(O17:Q17)&lt;3,"待补充",IF(MIN(O17:Q17)&lt;0,"检查输入",SUM(O17:Q17))))</f>
        <v/>
      </c>
      <c r="Z17" s="9">
        <f>IF(A17="","",IF(COUNTIF($A$2:$A$301,A17)&gt;1,"寄样单ID重复",IF(OR(B17="",D17="",S17=""),"待补合作/负责人/状态",IF(COUNTIF('达人线索与合作'!$B$2:$B$301,B17)&lt;&gt;1,"合作ID未唯一匹配","已关联；核对审批与签收"))))</f>
        <v/>
      </c>
    </row>
    <row r="18" spans="18:26" ht="34" customHeight="1">
      <c r="R18" s="10">
        <f>IF(A18="","",IF(COUNT(O18:Q18)&lt;3,"待补充",IF(MIN(O18:Q18)&lt;0,"检查输入",SUM(O18:Q18))))</f>
        <v/>
      </c>
      <c r="Z18" s="9">
        <f>IF(A18="","",IF(COUNTIF($A$2:$A$301,A18)&gt;1,"寄样单ID重复",IF(OR(B18="",D18="",S18=""),"待补合作/负责人/状态",IF(COUNTIF('达人线索与合作'!$B$2:$B$301,B18)&lt;&gt;1,"合作ID未唯一匹配","已关联；核对审批与签收"))))</f>
        <v/>
      </c>
    </row>
    <row r="19" spans="18:26" ht="34" customHeight="1">
      <c r="R19" s="10">
        <f>IF(A19="","",IF(COUNT(O19:Q19)&lt;3,"待补充",IF(MIN(O19:Q19)&lt;0,"检查输入",SUM(O19:Q19))))</f>
        <v/>
      </c>
      <c r="Z19" s="9">
        <f>IF(A19="","",IF(COUNTIF($A$2:$A$301,A19)&gt;1,"寄样单ID重复",IF(OR(B19="",D19="",S19=""),"待补合作/负责人/状态",IF(COUNTIF('达人线索与合作'!$B$2:$B$301,B19)&lt;&gt;1,"合作ID未唯一匹配","已关联；核对审批与签收"))))</f>
        <v/>
      </c>
    </row>
    <row r="20" spans="18:26" ht="34" customHeight="1">
      <c r="R20" s="10">
        <f>IF(A20="","",IF(COUNT(O20:Q20)&lt;3,"待补充",IF(MIN(O20:Q20)&lt;0,"检查输入",SUM(O20:Q20))))</f>
        <v/>
      </c>
      <c r="Z20" s="9">
        <f>IF(A20="","",IF(COUNTIF($A$2:$A$301,A20)&gt;1,"寄样单ID重复",IF(OR(B20="",D20="",S20=""),"待补合作/负责人/状态",IF(COUNTIF('达人线索与合作'!$B$2:$B$301,B20)&lt;&gt;1,"合作ID未唯一匹配","已关联；核对审批与签收"))))</f>
        <v/>
      </c>
    </row>
    <row r="21" spans="18:26" ht="34" customHeight="1">
      <c r="R21" s="10">
        <f>IF(A21="","",IF(COUNT(O21:Q21)&lt;3,"待补充",IF(MIN(O21:Q21)&lt;0,"检查输入",SUM(O21:Q21))))</f>
        <v/>
      </c>
      <c r="Z21" s="9">
        <f>IF(A21="","",IF(COUNTIF($A$2:$A$301,A21)&gt;1,"寄样单ID重复",IF(OR(B21="",D21="",S21=""),"待补合作/负责人/状态",IF(COUNTIF('达人线索与合作'!$B$2:$B$301,B21)&lt;&gt;1,"合作ID未唯一匹配","已关联；核对审批与签收"))))</f>
        <v/>
      </c>
    </row>
    <row r="22" spans="18:26" ht="34" customHeight="1">
      <c r="R22" s="10">
        <f>IF(A22="","",IF(COUNT(O22:Q22)&lt;3,"待补充",IF(MIN(O22:Q22)&lt;0,"检查输入",SUM(O22:Q22))))</f>
        <v/>
      </c>
      <c r="Z22" s="9">
        <f>IF(A22="","",IF(COUNTIF($A$2:$A$301,A22)&gt;1,"寄样单ID重复",IF(OR(B22="",D22="",S22=""),"待补合作/负责人/状态",IF(COUNTIF('达人线索与合作'!$B$2:$B$301,B22)&lt;&gt;1,"合作ID未唯一匹配","已关联；核对审批与签收"))))</f>
        <v/>
      </c>
    </row>
    <row r="23" spans="18:26" ht="34" customHeight="1">
      <c r="R23" s="10">
        <f>IF(A23="","",IF(COUNT(O23:Q23)&lt;3,"待补充",IF(MIN(O23:Q23)&lt;0,"检查输入",SUM(O23:Q23))))</f>
        <v/>
      </c>
      <c r="Z23" s="9">
        <f>IF(A23="","",IF(COUNTIF($A$2:$A$301,A23)&gt;1,"寄样单ID重复",IF(OR(B23="",D23="",S23=""),"待补合作/负责人/状态",IF(COUNTIF('达人线索与合作'!$B$2:$B$301,B23)&lt;&gt;1,"合作ID未唯一匹配","已关联；核对审批与签收"))))</f>
        <v/>
      </c>
    </row>
    <row r="24" spans="18:26" ht="34" customHeight="1">
      <c r="R24" s="10">
        <f>IF(A24="","",IF(COUNT(O24:Q24)&lt;3,"待补充",IF(MIN(O24:Q24)&lt;0,"检查输入",SUM(O24:Q24))))</f>
        <v/>
      </c>
      <c r="Z24" s="9">
        <f>IF(A24="","",IF(COUNTIF($A$2:$A$301,A24)&gt;1,"寄样单ID重复",IF(OR(B24="",D24="",S24=""),"待补合作/负责人/状态",IF(COUNTIF('达人线索与合作'!$B$2:$B$301,B24)&lt;&gt;1,"合作ID未唯一匹配","已关联；核对审批与签收"))))</f>
        <v/>
      </c>
    </row>
    <row r="25" spans="18:26" ht="34" customHeight="1">
      <c r="R25" s="10">
        <f>IF(A25="","",IF(COUNT(O25:Q25)&lt;3,"待补充",IF(MIN(O25:Q25)&lt;0,"检查输入",SUM(O25:Q25))))</f>
        <v/>
      </c>
      <c r="Z25" s="9">
        <f>IF(A25="","",IF(COUNTIF($A$2:$A$301,A25)&gt;1,"寄样单ID重复",IF(OR(B25="",D25="",S25=""),"待补合作/负责人/状态",IF(COUNTIF('达人线索与合作'!$B$2:$B$301,B25)&lt;&gt;1,"合作ID未唯一匹配","已关联；核对审批与签收"))))</f>
        <v/>
      </c>
    </row>
    <row r="26" spans="18:26" ht="34" customHeight="1">
      <c r="R26" s="10">
        <f>IF(A26="","",IF(COUNT(O26:Q26)&lt;3,"待补充",IF(MIN(O26:Q26)&lt;0,"检查输入",SUM(O26:Q26))))</f>
        <v/>
      </c>
      <c r="Z26" s="9">
        <f>IF(A26="","",IF(COUNTIF($A$2:$A$301,A26)&gt;1,"寄样单ID重复",IF(OR(B26="",D26="",S26=""),"待补合作/负责人/状态",IF(COUNTIF('达人线索与合作'!$B$2:$B$301,B26)&lt;&gt;1,"合作ID未唯一匹配","已关联；核对审批与签收"))))</f>
        <v/>
      </c>
    </row>
    <row r="27" spans="18:26" ht="34" customHeight="1">
      <c r="R27" s="10">
        <f>IF(A27="","",IF(COUNT(O27:Q27)&lt;3,"待补充",IF(MIN(O27:Q27)&lt;0,"检查输入",SUM(O27:Q27))))</f>
        <v/>
      </c>
      <c r="Z27" s="9">
        <f>IF(A27="","",IF(COUNTIF($A$2:$A$301,A27)&gt;1,"寄样单ID重复",IF(OR(B27="",D27="",S27=""),"待补合作/负责人/状态",IF(COUNTIF('达人线索与合作'!$B$2:$B$301,B27)&lt;&gt;1,"合作ID未唯一匹配","已关联；核对审批与签收"))))</f>
        <v/>
      </c>
    </row>
    <row r="28" spans="18:26" ht="34" customHeight="1">
      <c r="R28" s="10">
        <f>IF(A28="","",IF(COUNT(O28:Q28)&lt;3,"待补充",IF(MIN(O28:Q28)&lt;0,"检查输入",SUM(O28:Q28))))</f>
        <v/>
      </c>
      <c r="Z28" s="9">
        <f>IF(A28="","",IF(COUNTIF($A$2:$A$301,A28)&gt;1,"寄样单ID重复",IF(OR(B28="",D28="",S28=""),"待补合作/负责人/状态",IF(COUNTIF('达人线索与合作'!$B$2:$B$301,B28)&lt;&gt;1,"合作ID未唯一匹配","已关联；核对审批与签收"))))</f>
        <v/>
      </c>
    </row>
    <row r="29" spans="18:26" ht="34" customHeight="1">
      <c r="R29" s="10">
        <f>IF(A29="","",IF(COUNT(O29:Q29)&lt;3,"待补充",IF(MIN(O29:Q29)&lt;0,"检查输入",SUM(O29:Q29))))</f>
        <v/>
      </c>
      <c r="Z29" s="9">
        <f>IF(A29="","",IF(COUNTIF($A$2:$A$301,A29)&gt;1,"寄样单ID重复",IF(OR(B29="",D29="",S29=""),"待补合作/负责人/状态",IF(COUNTIF('达人线索与合作'!$B$2:$B$301,B29)&lt;&gt;1,"合作ID未唯一匹配","已关联；核对审批与签收"))))</f>
        <v/>
      </c>
    </row>
    <row r="30" spans="18:26" ht="34" customHeight="1">
      <c r="R30" s="10">
        <f>IF(A30="","",IF(COUNT(O30:Q30)&lt;3,"待补充",IF(MIN(O30:Q30)&lt;0,"检查输入",SUM(O30:Q30))))</f>
        <v/>
      </c>
      <c r="Z30" s="9">
        <f>IF(A30="","",IF(COUNTIF($A$2:$A$301,A30)&gt;1,"寄样单ID重复",IF(OR(B30="",D30="",S30=""),"待补合作/负责人/状态",IF(COUNTIF('达人线索与合作'!$B$2:$B$301,B30)&lt;&gt;1,"合作ID未唯一匹配","已关联；核对审批与签收"))))</f>
        <v/>
      </c>
    </row>
    <row r="31" spans="18:26" ht="34" customHeight="1">
      <c r="R31" s="10">
        <f>IF(A31="","",IF(COUNT(O31:Q31)&lt;3,"待补充",IF(MIN(O31:Q31)&lt;0,"检查输入",SUM(O31:Q31))))</f>
        <v/>
      </c>
      <c r="Z31" s="9">
        <f>IF(A31="","",IF(COUNTIF($A$2:$A$301,A31)&gt;1,"寄样单ID重复",IF(OR(B31="",D31="",S31=""),"待补合作/负责人/状态",IF(COUNTIF('达人线索与合作'!$B$2:$B$301,B31)&lt;&gt;1,"合作ID未唯一匹配","已关联；核对审批与签收"))))</f>
        <v/>
      </c>
    </row>
    <row r="32" spans="18:26" ht="34" customHeight="1">
      <c r="R32" s="10">
        <f>IF(A32="","",IF(COUNT(O32:Q32)&lt;3,"待补充",IF(MIN(O32:Q32)&lt;0,"检查输入",SUM(O32:Q32))))</f>
        <v/>
      </c>
      <c r="Z32" s="9">
        <f>IF(A32="","",IF(COUNTIF($A$2:$A$301,A32)&gt;1,"寄样单ID重复",IF(OR(B32="",D32="",S32=""),"待补合作/负责人/状态",IF(COUNTIF('达人线索与合作'!$B$2:$B$301,B32)&lt;&gt;1,"合作ID未唯一匹配","已关联；核对审批与签收"))))</f>
        <v/>
      </c>
    </row>
    <row r="33" spans="18:26" ht="34" customHeight="1">
      <c r="R33" s="10">
        <f>IF(A33="","",IF(COUNT(O33:Q33)&lt;3,"待补充",IF(MIN(O33:Q33)&lt;0,"检查输入",SUM(O33:Q33))))</f>
        <v/>
      </c>
      <c r="Z33" s="9">
        <f>IF(A33="","",IF(COUNTIF($A$2:$A$301,A33)&gt;1,"寄样单ID重复",IF(OR(B33="",D33="",S33=""),"待补合作/负责人/状态",IF(COUNTIF('达人线索与合作'!$B$2:$B$301,B33)&lt;&gt;1,"合作ID未唯一匹配","已关联；核对审批与签收"))))</f>
        <v/>
      </c>
    </row>
    <row r="34" spans="18:26" ht="34" customHeight="1">
      <c r="R34" s="10">
        <f>IF(A34="","",IF(COUNT(O34:Q34)&lt;3,"待补充",IF(MIN(O34:Q34)&lt;0,"检查输入",SUM(O34:Q34))))</f>
        <v/>
      </c>
      <c r="Z34" s="9">
        <f>IF(A34="","",IF(COUNTIF($A$2:$A$301,A34)&gt;1,"寄样单ID重复",IF(OR(B34="",D34="",S34=""),"待补合作/负责人/状态",IF(COUNTIF('达人线索与合作'!$B$2:$B$301,B34)&lt;&gt;1,"合作ID未唯一匹配","已关联；核对审批与签收"))))</f>
        <v/>
      </c>
    </row>
    <row r="35" spans="18:26" ht="34" customHeight="1">
      <c r="R35" s="10">
        <f>IF(A35="","",IF(COUNT(O35:Q35)&lt;3,"待补充",IF(MIN(O35:Q35)&lt;0,"检查输入",SUM(O35:Q35))))</f>
        <v/>
      </c>
      <c r="Z35" s="9">
        <f>IF(A35="","",IF(COUNTIF($A$2:$A$301,A35)&gt;1,"寄样单ID重复",IF(OR(B35="",D35="",S35=""),"待补合作/负责人/状态",IF(COUNTIF('达人线索与合作'!$B$2:$B$301,B35)&lt;&gt;1,"合作ID未唯一匹配","已关联；核对审批与签收"))))</f>
        <v/>
      </c>
    </row>
    <row r="36" spans="18:26" ht="34" customHeight="1">
      <c r="R36" s="10">
        <f>IF(A36="","",IF(COUNT(O36:Q36)&lt;3,"待补充",IF(MIN(O36:Q36)&lt;0,"检查输入",SUM(O36:Q36))))</f>
        <v/>
      </c>
      <c r="Z36" s="9">
        <f>IF(A36="","",IF(COUNTIF($A$2:$A$301,A36)&gt;1,"寄样单ID重复",IF(OR(B36="",D36="",S36=""),"待补合作/负责人/状态",IF(COUNTIF('达人线索与合作'!$B$2:$B$301,B36)&lt;&gt;1,"合作ID未唯一匹配","已关联；核对审批与签收"))))</f>
        <v/>
      </c>
    </row>
    <row r="37" spans="18:26" ht="34" customHeight="1">
      <c r="R37" s="10">
        <f>IF(A37="","",IF(COUNT(O37:Q37)&lt;3,"待补充",IF(MIN(O37:Q37)&lt;0,"检查输入",SUM(O37:Q37))))</f>
        <v/>
      </c>
      <c r="Z37" s="9">
        <f>IF(A37="","",IF(COUNTIF($A$2:$A$301,A37)&gt;1,"寄样单ID重复",IF(OR(B37="",D37="",S37=""),"待补合作/负责人/状态",IF(COUNTIF('达人线索与合作'!$B$2:$B$301,B37)&lt;&gt;1,"合作ID未唯一匹配","已关联；核对审批与签收"))))</f>
        <v/>
      </c>
    </row>
    <row r="38" spans="18:26" ht="34" customHeight="1">
      <c r="R38" s="10">
        <f>IF(A38="","",IF(COUNT(O38:Q38)&lt;3,"待补充",IF(MIN(O38:Q38)&lt;0,"检查输入",SUM(O38:Q38))))</f>
        <v/>
      </c>
      <c r="Z38" s="9">
        <f>IF(A38="","",IF(COUNTIF($A$2:$A$301,A38)&gt;1,"寄样单ID重复",IF(OR(B38="",D38="",S38=""),"待补合作/负责人/状态",IF(COUNTIF('达人线索与合作'!$B$2:$B$301,B38)&lt;&gt;1,"合作ID未唯一匹配","已关联；核对审批与签收"))))</f>
        <v/>
      </c>
    </row>
    <row r="39" spans="18:26" ht="34" customHeight="1">
      <c r="R39" s="10">
        <f>IF(A39="","",IF(COUNT(O39:Q39)&lt;3,"待补充",IF(MIN(O39:Q39)&lt;0,"检查输入",SUM(O39:Q39))))</f>
        <v/>
      </c>
      <c r="Z39" s="9">
        <f>IF(A39="","",IF(COUNTIF($A$2:$A$301,A39)&gt;1,"寄样单ID重复",IF(OR(B39="",D39="",S39=""),"待补合作/负责人/状态",IF(COUNTIF('达人线索与合作'!$B$2:$B$301,B39)&lt;&gt;1,"合作ID未唯一匹配","已关联；核对审批与签收"))))</f>
        <v/>
      </c>
    </row>
    <row r="40" spans="18:26" ht="34" customHeight="1">
      <c r="R40" s="10">
        <f>IF(A40="","",IF(COUNT(O40:Q40)&lt;3,"待补充",IF(MIN(O40:Q40)&lt;0,"检查输入",SUM(O40:Q40))))</f>
        <v/>
      </c>
      <c r="Z40" s="9">
        <f>IF(A40="","",IF(COUNTIF($A$2:$A$301,A40)&gt;1,"寄样单ID重复",IF(OR(B40="",D40="",S40=""),"待补合作/负责人/状态",IF(COUNTIF('达人线索与合作'!$B$2:$B$301,B40)&lt;&gt;1,"合作ID未唯一匹配","已关联；核对审批与签收"))))</f>
        <v/>
      </c>
    </row>
    <row r="41" spans="18:26" ht="34" customHeight="1">
      <c r="R41" s="10">
        <f>IF(A41="","",IF(COUNT(O41:Q41)&lt;3,"待补充",IF(MIN(O41:Q41)&lt;0,"检查输入",SUM(O41:Q41))))</f>
        <v/>
      </c>
      <c r="Z41" s="9">
        <f>IF(A41="","",IF(COUNTIF($A$2:$A$301,A41)&gt;1,"寄样单ID重复",IF(OR(B41="",D41="",S41=""),"待补合作/负责人/状态",IF(COUNTIF('达人线索与合作'!$B$2:$B$301,B41)&lt;&gt;1,"合作ID未唯一匹配","已关联；核对审批与签收"))))</f>
        <v/>
      </c>
    </row>
    <row r="42" spans="18:26" ht="34" customHeight="1">
      <c r="R42" s="10">
        <f>IF(A42="","",IF(COUNT(O42:Q42)&lt;3,"待补充",IF(MIN(O42:Q42)&lt;0,"检查输入",SUM(O42:Q42))))</f>
        <v/>
      </c>
      <c r="Z42" s="9">
        <f>IF(A42="","",IF(COUNTIF($A$2:$A$301,A42)&gt;1,"寄样单ID重复",IF(OR(B42="",D42="",S42=""),"待补合作/负责人/状态",IF(COUNTIF('达人线索与合作'!$B$2:$B$301,B42)&lt;&gt;1,"合作ID未唯一匹配","已关联；核对审批与签收"))))</f>
        <v/>
      </c>
    </row>
    <row r="43" spans="18:26" ht="34" customHeight="1">
      <c r="R43" s="10">
        <f>IF(A43="","",IF(COUNT(O43:Q43)&lt;3,"待补充",IF(MIN(O43:Q43)&lt;0,"检查输入",SUM(O43:Q43))))</f>
        <v/>
      </c>
      <c r="Z43" s="9">
        <f>IF(A43="","",IF(COUNTIF($A$2:$A$301,A43)&gt;1,"寄样单ID重复",IF(OR(B43="",D43="",S43=""),"待补合作/负责人/状态",IF(COUNTIF('达人线索与合作'!$B$2:$B$301,B43)&lt;&gt;1,"合作ID未唯一匹配","已关联；核对审批与签收"))))</f>
        <v/>
      </c>
    </row>
    <row r="44" spans="18:26" ht="34" customHeight="1">
      <c r="R44" s="10">
        <f>IF(A44="","",IF(COUNT(O44:Q44)&lt;3,"待补充",IF(MIN(O44:Q44)&lt;0,"检查输入",SUM(O44:Q44))))</f>
        <v/>
      </c>
      <c r="Z44" s="9">
        <f>IF(A44="","",IF(COUNTIF($A$2:$A$301,A44)&gt;1,"寄样单ID重复",IF(OR(B44="",D44="",S44=""),"待补合作/负责人/状态",IF(COUNTIF('达人线索与合作'!$B$2:$B$301,B44)&lt;&gt;1,"合作ID未唯一匹配","已关联；核对审批与签收"))))</f>
        <v/>
      </c>
    </row>
    <row r="45" spans="18:26" ht="34" customHeight="1">
      <c r="R45" s="10">
        <f>IF(A45="","",IF(COUNT(O45:Q45)&lt;3,"待补充",IF(MIN(O45:Q45)&lt;0,"检查输入",SUM(O45:Q45))))</f>
        <v/>
      </c>
      <c r="Z45" s="9">
        <f>IF(A45="","",IF(COUNTIF($A$2:$A$301,A45)&gt;1,"寄样单ID重复",IF(OR(B45="",D45="",S45=""),"待补合作/负责人/状态",IF(COUNTIF('达人线索与合作'!$B$2:$B$301,B45)&lt;&gt;1,"合作ID未唯一匹配","已关联；核对审批与签收"))))</f>
        <v/>
      </c>
    </row>
    <row r="46" spans="18:26" ht="34" customHeight="1">
      <c r="R46" s="10">
        <f>IF(A46="","",IF(COUNT(O46:Q46)&lt;3,"待补充",IF(MIN(O46:Q46)&lt;0,"检查输入",SUM(O46:Q46))))</f>
        <v/>
      </c>
      <c r="Z46" s="9">
        <f>IF(A46="","",IF(COUNTIF($A$2:$A$301,A46)&gt;1,"寄样单ID重复",IF(OR(B46="",D46="",S46=""),"待补合作/负责人/状态",IF(COUNTIF('达人线索与合作'!$B$2:$B$301,B46)&lt;&gt;1,"合作ID未唯一匹配","已关联；核对审批与签收"))))</f>
        <v/>
      </c>
    </row>
    <row r="47" spans="18:26" ht="34" customHeight="1">
      <c r="R47" s="10">
        <f>IF(A47="","",IF(COUNT(O47:Q47)&lt;3,"待补充",IF(MIN(O47:Q47)&lt;0,"检查输入",SUM(O47:Q47))))</f>
        <v/>
      </c>
      <c r="Z47" s="9">
        <f>IF(A47="","",IF(COUNTIF($A$2:$A$301,A47)&gt;1,"寄样单ID重复",IF(OR(B47="",D47="",S47=""),"待补合作/负责人/状态",IF(COUNTIF('达人线索与合作'!$B$2:$B$301,B47)&lt;&gt;1,"合作ID未唯一匹配","已关联；核对审批与签收"))))</f>
        <v/>
      </c>
    </row>
    <row r="48" spans="18:26" ht="34" customHeight="1">
      <c r="R48" s="10">
        <f>IF(A48="","",IF(COUNT(O48:Q48)&lt;3,"待补充",IF(MIN(O48:Q48)&lt;0,"检查输入",SUM(O48:Q48))))</f>
        <v/>
      </c>
      <c r="Z48" s="9">
        <f>IF(A48="","",IF(COUNTIF($A$2:$A$301,A48)&gt;1,"寄样单ID重复",IF(OR(B48="",D48="",S48=""),"待补合作/负责人/状态",IF(COUNTIF('达人线索与合作'!$B$2:$B$301,B48)&lt;&gt;1,"合作ID未唯一匹配","已关联；核对审批与签收"))))</f>
        <v/>
      </c>
    </row>
    <row r="49" spans="18:26" ht="34" customHeight="1">
      <c r="R49" s="10">
        <f>IF(A49="","",IF(COUNT(O49:Q49)&lt;3,"待补充",IF(MIN(O49:Q49)&lt;0,"检查输入",SUM(O49:Q49))))</f>
        <v/>
      </c>
      <c r="Z49" s="9">
        <f>IF(A49="","",IF(COUNTIF($A$2:$A$301,A49)&gt;1,"寄样单ID重复",IF(OR(B49="",D49="",S49=""),"待补合作/负责人/状态",IF(COUNTIF('达人线索与合作'!$B$2:$B$301,B49)&lt;&gt;1,"合作ID未唯一匹配","已关联；核对审批与签收"))))</f>
        <v/>
      </c>
    </row>
    <row r="50" spans="18:26" ht="34" customHeight="1">
      <c r="R50" s="10">
        <f>IF(A50="","",IF(COUNT(O50:Q50)&lt;3,"待补充",IF(MIN(O50:Q50)&lt;0,"检查输入",SUM(O50:Q50))))</f>
        <v/>
      </c>
      <c r="Z50" s="9">
        <f>IF(A50="","",IF(COUNTIF($A$2:$A$301,A50)&gt;1,"寄样单ID重复",IF(OR(B50="",D50="",S50=""),"待补合作/负责人/状态",IF(COUNTIF('达人线索与合作'!$B$2:$B$301,B50)&lt;&gt;1,"合作ID未唯一匹配","已关联；核对审批与签收"))))</f>
        <v/>
      </c>
    </row>
    <row r="51" spans="18:26" ht="34" customHeight="1">
      <c r="R51" s="10">
        <f>IF(A51="","",IF(COUNT(O51:Q51)&lt;3,"待补充",IF(MIN(O51:Q51)&lt;0,"检查输入",SUM(O51:Q51))))</f>
        <v/>
      </c>
      <c r="Z51" s="9">
        <f>IF(A51="","",IF(COUNTIF($A$2:$A$301,A51)&gt;1,"寄样单ID重复",IF(OR(B51="",D51="",S51=""),"待补合作/负责人/状态",IF(COUNTIF('达人线索与合作'!$B$2:$B$301,B51)&lt;&gt;1,"合作ID未唯一匹配","已关联；核对审批与签收"))))</f>
        <v/>
      </c>
    </row>
    <row r="52" spans="18:26" ht="34" customHeight="1">
      <c r="R52" s="10">
        <f>IF(A52="","",IF(COUNT(O52:Q52)&lt;3,"待补充",IF(MIN(O52:Q52)&lt;0,"检查输入",SUM(O52:Q52))))</f>
        <v/>
      </c>
      <c r="Z52" s="9">
        <f>IF(A52="","",IF(COUNTIF($A$2:$A$301,A52)&gt;1,"寄样单ID重复",IF(OR(B52="",D52="",S52=""),"待补合作/负责人/状态",IF(COUNTIF('达人线索与合作'!$B$2:$B$301,B52)&lt;&gt;1,"合作ID未唯一匹配","已关联；核对审批与签收"))))</f>
        <v/>
      </c>
    </row>
    <row r="53" spans="18:26" ht="34" customHeight="1">
      <c r="R53" s="10">
        <f>IF(A53="","",IF(COUNT(O53:Q53)&lt;3,"待补充",IF(MIN(O53:Q53)&lt;0,"检查输入",SUM(O53:Q53))))</f>
        <v/>
      </c>
      <c r="Z53" s="9">
        <f>IF(A53="","",IF(COUNTIF($A$2:$A$301,A53)&gt;1,"寄样单ID重复",IF(OR(B53="",D53="",S53=""),"待补合作/负责人/状态",IF(COUNTIF('达人线索与合作'!$B$2:$B$301,B53)&lt;&gt;1,"合作ID未唯一匹配","已关联；核对审批与签收"))))</f>
        <v/>
      </c>
    </row>
    <row r="54" spans="18:26" ht="34" customHeight="1">
      <c r="R54" s="10">
        <f>IF(A54="","",IF(COUNT(O54:Q54)&lt;3,"待补充",IF(MIN(O54:Q54)&lt;0,"检查输入",SUM(O54:Q54))))</f>
        <v/>
      </c>
      <c r="Z54" s="9">
        <f>IF(A54="","",IF(COUNTIF($A$2:$A$301,A54)&gt;1,"寄样单ID重复",IF(OR(B54="",D54="",S54=""),"待补合作/负责人/状态",IF(COUNTIF('达人线索与合作'!$B$2:$B$301,B54)&lt;&gt;1,"合作ID未唯一匹配","已关联；核对审批与签收"))))</f>
        <v/>
      </c>
    </row>
    <row r="55" spans="18:26" ht="34" customHeight="1">
      <c r="R55" s="10">
        <f>IF(A55="","",IF(COUNT(O55:Q55)&lt;3,"待补充",IF(MIN(O55:Q55)&lt;0,"检查输入",SUM(O55:Q55))))</f>
        <v/>
      </c>
      <c r="Z55" s="9">
        <f>IF(A55="","",IF(COUNTIF($A$2:$A$301,A55)&gt;1,"寄样单ID重复",IF(OR(B55="",D55="",S55=""),"待补合作/负责人/状态",IF(COUNTIF('达人线索与合作'!$B$2:$B$301,B55)&lt;&gt;1,"合作ID未唯一匹配","已关联；核对审批与签收"))))</f>
        <v/>
      </c>
    </row>
    <row r="56" spans="18:26" ht="34" customHeight="1">
      <c r="R56" s="10">
        <f>IF(A56="","",IF(COUNT(O56:Q56)&lt;3,"待补充",IF(MIN(O56:Q56)&lt;0,"检查输入",SUM(O56:Q56))))</f>
        <v/>
      </c>
      <c r="Z56" s="9">
        <f>IF(A56="","",IF(COUNTIF($A$2:$A$301,A56)&gt;1,"寄样单ID重复",IF(OR(B56="",D56="",S56=""),"待补合作/负责人/状态",IF(COUNTIF('达人线索与合作'!$B$2:$B$301,B56)&lt;&gt;1,"合作ID未唯一匹配","已关联；核对审批与签收"))))</f>
        <v/>
      </c>
    </row>
    <row r="57" spans="18:26" ht="34" customHeight="1">
      <c r="R57" s="10">
        <f>IF(A57="","",IF(COUNT(O57:Q57)&lt;3,"待补充",IF(MIN(O57:Q57)&lt;0,"检查输入",SUM(O57:Q57))))</f>
        <v/>
      </c>
      <c r="Z57" s="9">
        <f>IF(A57="","",IF(COUNTIF($A$2:$A$301,A57)&gt;1,"寄样单ID重复",IF(OR(B57="",D57="",S57=""),"待补合作/负责人/状态",IF(COUNTIF('达人线索与合作'!$B$2:$B$301,B57)&lt;&gt;1,"合作ID未唯一匹配","已关联；核对审批与签收"))))</f>
        <v/>
      </c>
    </row>
    <row r="58" spans="18:26" ht="34" customHeight="1">
      <c r="R58" s="10">
        <f>IF(A58="","",IF(COUNT(O58:Q58)&lt;3,"待补充",IF(MIN(O58:Q58)&lt;0,"检查输入",SUM(O58:Q58))))</f>
        <v/>
      </c>
      <c r="Z58" s="9">
        <f>IF(A58="","",IF(COUNTIF($A$2:$A$301,A58)&gt;1,"寄样单ID重复",IF(OR(B58="",D58="",S58=""),"待补合作/负责人/状态",IF(COUNTIF('达人线索与合作'!$B$2:$B$301,B58)&lt;&gt;1,"合作ID未唯一匹配","已关联；核对审批与签收"))))</f>
        <v/>
      </c>
    </row>
    <row r="59" spans="18:26" ht="34" customHeight="1">
      <c r="R59" s="10">
        <f>IF(A59="","",IF(COUNT(O59:Q59)&lt;3,"待补充",IF(MIN(O59:Q59)&lt;0,"检查输入",SUM(O59:Q59))))</f>
        <v/>
      </c>
      <c r="Z59" s="9">
        <f>IF(A59="","",IF(COUNTIF($A$2:$A$301,A59)&gt;1,"寄样单ID重复",IF(OR(B59="",D59="",S59=""),"待补合作/负责人/状态",IF(COUNTIF('达人线索与合作'!$B$2:$B$301,B59)&lt;&gt;1,"合作ID未唯一匹配","已关联；核对审批与签收"))))</f>
        <v/>
      </c>
    </row>
    <row r="60" spans="18:26" ht="34" customHeight="1">
      <c r="R60" s="10">
        <f>IF(A60="","",IF(COUNT(O60:Q60)&lt;3,"待补充",IF(MIN(O60:Q60)&lt;0,"检查输入",SUM(O60:Q60))))</f>
        <v/>
      </c>
      <c r="Z60" s="9">
        <f>IF(A60="","",IF(COUNTIF($A$2:$A$301,A60)&gt;1,"寄样单ID重复",IF(OR(B60="",D60="",S60=""),"待补合作/负责人/状态",IF(COUNTIF('达人线索与合作'!$B$2:$B$301,B60)&lt;&gt;1,"合作ID未唯一匹配","已关联；核对审批与签收"))))</f>
        <v/>
      </c>
    </row>
    <row r="61" spans="18:26" ht="34" customHeight="1">
      <c r="R61" s="10">
        <f>IF(A61="","",IF(COUNT(O61:Q61)&lt;3,"待补充",IF(MIN(O61:Q61)&lt;0,"检查输入",SUM(O61:Q61))))</f>
        <v/>
      </c>
      <c r="Z61" s="9">
        <f>IF(A61="","",IF(COUNTIF($A$2:$A$301,A61)&gt;1,"寄样单ID重复",IF(OR(B61="",D61="",S61=""),"待补合作/负责人/状态",IF(COUNTIF('达人线索与合作'!$B$2:$B$301,B61)&lt;&gt;1,"合作ID未唯一匹配","已关联；核对审批与签收"))))</f>
        <v/>
      </c>
    </row>
    <row r="62" spans="18:26" ht="34" customHeight="1">
      <c r="R62" s="10">
        <f>IF(A62="","",IF(COUNT(O62:Q62)&lt;3,"待补充",IF(MIN(O62:Q62)&lt;0,"检查输入",SUM(O62:Q62))))</f>
        <v/>
      </c>
      <c r="Z62" s="9">
        <f>IF(A62="","",IF(COUNTIF($A$2:$A$301,A62)&gt;1,"寄样单ID重复",IF(OR(B62="",D62="",S62=""),"待补合作/负责人/状态",IF(COUNTIF('达人线索与合作'!$B$2:$B$301,B62)&lt;&gt;1,"合作ID未唯一匹配","已关联；核对审批与签收"))))</f>
        <v/>
      </c>
    </row>
    <row r="63" spans="18:26" ht="34" customHeight="1">
      <c r="R63" s="10">
        <f>IF(A63="","",IF(COUNT(O63:Q63)&lt;3,"待补充",IF(MIN(O63:Q63)&lt;0,"检查输入",SUM(O63:Q63))))</f>
        <v/>
      </c>
      <c r="Z63" s="9">
        <f>IF(A63="","",IF(COUNTIF($A$2:$A$301,A63)&gt;1,"寄样单ID重复",IF(OR(B63="",D63="",S63=""),"待补合作/负责人/状态",IF(COUNTIF('达人线索与合作'!$B$2:$B$301,B63)&lt;&gt;1,"合作ID未唯一匹配","已关联；核对审批与签收"))))</f>
        <v/>
      </c>
    </row>
    <row r="64" spans="18:26" ht="34" customHeight="1">
      <c r="R64" s="10">
        <f>IF(A64="","",IF(COUNT(O64:Q64)&lt;3,"待补充",IF(MIN(O64:Q64)&lt;0,"检查输入",SUM(O64:Q64))))</f>
        <v/>
      </c>
      <c r="Z64" s="9">
        <f>IF(A64="","",IF(COUNTIF($A$2:$A$301,A64)&gt;1,"寄样单ID重复",IF(OR(B64="",D64="",S64=""),"待补合作/负责人/状态",IF(COUNTIF('达人线索与合作'!$B$2:$B$301,B64)&lt;&gt;1,"合作ID未唯一匹配","已关联；核对审批与签收"))))</f>
        <v/>
      </c>
    </row>
    <row r="65" spans="18:26" ht="34" customHeight="1">
      <c r="R65" s="10">
        <f>IF(A65="","",IF(COUNT(O65:Q65)&lt;3,"待补充",IF(MIN(O65:Q65)&lt;0,"检查输入",SUM(O65:Q65))))</f>
        <v/>
      </c>
      <c r="Z65" s="9">
        <f>IF(A65="","",IF(COUNTIF($A$2:$A$301,A65)&gt;1,"寄样单ID重复",IF(OR(B65="",D65="",S65=""),"待补合作/负责人/状态",IF(COUNTIF('达人线索与合作'!$B$2:$B$301,B65)&lt;&gt;1,"合作ID未唯一匹配","已关联；核对审批与签收"))))</f>
        <v/>
      </c>
    </row>
    <row r="66" spans="18:26" ht="34" customHeight="1">
      <c r="R66" s="10">
        <f>IF(A66="","",IF(COUNT(O66:Q66)&lt;3,"待补充",IF(MIN(O66:Q66)&lt;0,"检查输入",SUM(O66:Q66))))</f>
        <v/>
      </c>
      <c r="Z66" s="9">
        <f>IF(A66="","",IF(COUNTIF($A$2:$A$301,A66)&gt;1,"寄样单ID重复",IF(OR(B66="",D66="",S66=""),"待补合作/负责人/状态",IF(COUNTIF('达人线索与合作'!$B$2:$B$301,B66)&lt;&gt;1,"合作ID未唯一匹配","已关联；核对审批与签收"))))</f>
        <v/>
      </c>
    </row>
    <row r="67" spans="18:26" ht="34" customHeight="1">
      <c r="R67" s="10">
        <f>IF(A67="","",IF(COUNT(O67:Q67)&lt;3,"待补充",IF(MIN(O67:Q67)&lt;0,"检查输入",SUM(O67:Q67))))</f>
        <v/>
      </c>
      <c r="Z67" s="9">
        <f>IF(A67="","",IF(COUNTIF($A$2:$A$301,A67)&gt;1,"寄样单ID重复",IF(OR(B67="",D67="",S67=""),"待补合作/负责人/状态",IF(COUNTIF('达人线索与合作'!$B$2:$B$301,B67)&lt;&gt;1,"合作ID未唯一匹配","已关联；核对审批与签收"))))</f>
        <v/>
      </c>
    </row>
    <row r="68" spans="18:26" ht="34" customHeight="1">
      <c r="R68" s="10">
        <f>IF(A68="","",IF(COUNT(O68:Q68)&lt;3,"待补充",IF(MIN(O68:Q68)&lt;0,"检查输入",SUM(O68:Q68))))</f>
        <v/>
      </c>
      <c r="Z68" s="9">
        <f>IF(A68="","",IF(COUNTIF($A$2:$A$301,A68)&gt;1,"寄样单ID重复",IF(OR(B68="",D68="",S68=""),"待补合作/负责人/状态",IF(COUNTIF('达人线索与合作'!$B$2:$B$301,B68)&lt;&gt;1,"合作ID未唯一匹配","已关联；核对审批与签收"))))</f>
        <v/>
      </c>
    </row>
    <row r="69" spans="18:26" ht="34" customHeight="1">
      <c r="R69" s="10">
        <f>IF(A69="","",IF(COUNT(O69:Q69)&lt;3,"待补充",IF(MIN(O69:Q69)&lt;0,"检查输入",SUM(O69:Q69))))</f>
        <v/>
      </c>
      <c r="Z69" s="9">
        <f>IF(A69="","",IF(COUNTIF($A$2:$A$301,A69)&gt;1,"寄样单ID重复",IF(OR(B69="",D69="",S69=""),"待补合作/负责人/状态",IF(COUNTIF('达人线索与合作'!$B$2:$B$301,B69)&lt;&gt;1,"合作ID未唯一匹配","已关联；核对审批与签收"))))</f>
        <v/>
      </c>
    </row>
    <row r="70" spans="18:26" ht="34" customHeight="1">
      <c r="R70" s="10">
        <f>IF(A70="","",IF(COUNT(O70:Q70)&lt;3,"待补充",IF(MIN(O70:Q70)&lt;0,"检查输入",SUM(O70:Q70))))</f>
        <v/>
      </c>
      <c r="Z70" s="9">
        <f>IF(A70="","",IF(COUNTIF($A$2:$A$301,A70)&gt;1,"寄样单ID重复",IF(OR(B70="",D70="",S70=""),"待补合作/负责人/状态",IF(COUNTIF('达人线索与合作'!$B$2:$B$301,B70)&lt;&gt;1,"合作ID未唯一匹配","已关联；核对审批与签收"))))</f>
        <v/>
      </c>
    </row>
    <row r="71" spans="18:26" ht="34" customHeight="1">
      <c r="R71" s="10">
        <f>IF(A71="","",IF(COUNT(O71:Q71)&lt;3,"待补充",IF(MIN(O71:Q71)&lt;0,"检查输入",SUM(O71:Q71))))</f>
        <v/>
      </c>
      <c r="Z71" s="9">
        <f>IF(A71="","",IF(COUNTIF($A$2:$A$301,A71)&gt;1,"寄样单ID重复",IF(OR(B71="",D71="",S71=""),"待补合作/负责人/状态",IF(COUNTIF('达人线索与合作'!$B$2:$B$301,B71)&lt;&gt;1,"合作ID未唯一匹配","已关联；核对审批与签收"))))</f>
        <v/>
      </c>
    </row>
    <row r="72" spans="18:26" ht="34" customHeight="1">
      <c r="R72" s="10">
        <f>IF(A72="","",IF(COUNT(O72:Q72)&lt;3,"待补充",IF(MIN(O72:Q72)&lt;0,"检查输入",SUM(O72:Q72))))</f>
        <v/>
      </c>
      <c r="Z72" s="9">
        <f>IF(A72="","",IF(COUNTIF($A$2:$A$301,A72)&gt;1,"寄样单ID重复",IF(OR(B72="",D72="",S72=""),"待补合作/负责人/状态",IF(COUNTIF('达人线索与合作'!$B$2:$B$301,B72)&lt;&gt;1,"合作ID未唯一匹配","已关联；核对审批与签收"))))</f>
        <v/>
      </c>
    </row>
    <row r="73" spans="18:26" ht="34" customHeight="1">
      <c r="R73" s="10">
        <f>IF(A73="","",IF(COUNT(O73:Q73)&lt;3,"待补充",IF(MIN(O73:Q73)&lt;0,"检查输入",SUM(O73:Q73))))</f>
        <v/>
      </c>
      <c r="Z73" s="9">
        <f>IF(A73="","",IF(COUNTIF($A$2:$A$301,A73)&gt;1,"寄样单ID重复",IF(OR(B73="",D73="",S73=""),"待补合作/负责人/状态",IF(COUNTIF('达人线索与合作'!$B$2:$B$301,B73)&lt;&gt;1,"合作ID未唯一匹配","已关联；核对审批与签收"))))</f>
        <v/>
      </c>
    </row>
    <row r="74" spans="18:26" ht="34" customHeight="1">
      <c r="R74" s="10">
        <f>IF(A74="","",IF(COUNT(O74:Q74)&lt;3,"待补充",IF(MIN(O74:Q74)&lt;0,"检查输入",SUM(O74:Q74))))</f>
        <v/>
      </c>
      <c r="Z74" s="9">
        <f>IF(A74="","",IF(COUNTIF($A$2:$A$301,A74)&gt;1,"寄样单ID重复",IF(OR(B74="",D74="",S74=""),"待补合作/负责人/状态",IF(COUNTIF('达人线索与合作'!$B$2:$B$301,B74)&lt;&gt;1,"合作ID未唯一匹配","已关联；核对审批与签收"))))</f>
        <v/>
      </c>
    </row>
    <row r="75" spans="18:26" ht="34" customHeight="1">
      <c r="R75" s="10">
        <f>IF(A75="","",IF(COUNT(O75:Q75)&lt;3,"待补充",IF(MIN(O75:Q75)&lt;0,"检查输入",SUM(O75:Q75))))</f>
        <v/>
      </c>
      <c r="Z75" s="9">
        <f>IF(A75="","",IF(COUNTIF($A$2:$A$301,A75)&gt;1,"寄样单ID重复",IF(OR(B75="",D75="",S75=""),"待补合作/负责人/状态",IF(COUNTIF('达人线索与合作'!$B$2:$B$301,B75)&lt;&gt;1,"合作ID未唯一匹配","已关联；核对审批与签收"))))</f>
        <v/>
      </c>
    </row>
    <row r="76" spans="18:26" ht="34" customHeight="1">
      <c r="R76" s="10">
        <f>IF(A76="","",IF(COUNT(O76:Q76)&lt;3,"待补充",IF(MIN(O76:Q76)&lt;0,"检查输入",SUM(O76:Q76))))</f>
        <v/>
      </c>
      <c r="Z76" s="9">
        <f>IF(A76="","",IF(COUNTIF($A$2:$A$301,A76)&gt;1,"寄样单ID重复",IF(OR(B76="",D76="",S76=""),"待补合作/负责人/状态",IF(COUNTIF('达人线索与合作'!$B$2:$B$301,B76)&lt;&gt;1,"合作ID未唯一匹配","已关联；核对审批与签收"))))</f>
        <v/>
      </c>
    </row>
    <row r="77" spans="18:26" ht="34" customHeight="1">
      <c r="R77" s="10">
        <f>IF(A77="","",IF(COUNT(O77:Q77)&lt;3,"待补充",IF(MIN(O77:Q77)&lt;0,"检查输入",SUM(O77:Q77))))</f>
        <v/>
      </c>
      <c r="Z77" s="9">
        <f>IF(A77="","",IF(COUNTIF($A$2:$A$301,A77)&gt;1,"寄样单ID重复",IF(OR(B77="",D77="",S77=""),"待补合作/负责人/状态",IF(COUNTIF('达人线索与合作'!$B$2:$B$301,B77)&lt;&gt;1,"合作ID未唯一匹配","已关联；核对审批与签收"))))</f>
        <v/>
      </c>
    </row>
    <row r="78" spans="18:26" ht="34" customHeight="1">
      <c r="R78" s="10">
        <f>IF(A78="","",IF(COUNT(O78:Q78)&lt;3,"待补充",IF(MIN(O78:Q78)&lt;0,"检查输入",SUM(O78:Q78))))</f>
        <v/>
      </c>
      <c r="Z78" s="9">
        <f>IF(A78="","",IF(COUNTIF($A$2:$A$301,A78)&gt;1,"寄样单ID重复",IF(OR(B78="",D78="",S78=""),"待补合作/负责人/状态",IF(COUNTIF('达人线索与合作'!$B$2:$B$301,B78)&lt;&gt;1,"合作ID未唯一匹配","已关联；核对审批与签收"))))</f>
        <v/>
      </c>
    </row>
    <row r="79" spans="18:26" ht="34" customHeight="1">
      <c r="R79" s="10">
        <f>IF(A79="","",IF(COUNT(O79:Q79)&lt;3,"待补充",IF(MIN(O79:Q79)&lt;0,"检查输入",SUM(O79:Q79))))</f>
        <v/>
      </c>
      <c r="Z79" s="9">
        <f>IF(A79="","",IF(COUNTIF($A$2:$A$301,A79)&gt;1,"寄样单ID重复",IF(OR(B79="",D79="",S79=""),"待补合作/负责人/状态",IF(COUNTIF('达人线索与合作'!$B$2:$B$301,B79)&lt;&gt;1,"合作ID未唯一匹配","已关联；核对审批与签收"))))</f>
        <v/>
      </c>
    </row>
    <row r="80" spans="18:26" ht="34" customHeight="1">
      <c r="R80" s="10">
        <f>IF(A80="","",IF(COUNT(O80:Q80)&lt;3,"待补充",IF(MIN(O80:Q80)&lt;0,"检查输入",SUM(O80:Q80))))</f>
        <v/>
      </c>
      <c r="Z80" s="9">
        <f>IF(A80="","",IF(COUNTIF($A$2:$A$301,A80)&gt;1,"寄样单ID重复",IF(OR(B80="",D80="",S80=""),"待补合作/负责人/状态",IF(COUNTIF('达人线索与合作'!$B$2:$B$301,B80)&lt;&gt;1,"合作ID未唯一匹配","已关联；核对审批与签收"))))</f>
        <v/>
      </c>
    </row>
    <row r="81" spans="18:26" ht="34" customHeight="1">
      <c r="R81" s="10">
        <f>IF(A81="","",IF(COUNT(O81:Q81)&lt;3,"待补充",IF(MIN(O81:Q81)&lt;0,"检查输入",SUM(O81:Q81))))</f>
        <v/>
      </c>
      <c r="Z81" s="9">
        <f>IF(A81="","",IF(COUNTIF($A$2:$A$301,A81)&gt;1,"寄样单ID重复",IF(OR(B81="",D81="",S81=""),"待补合作/负责人/状态",IF(COUNTIF('达人线索与合作'!$B$2:$B$301,B81)&lt;&gt;1,"合作ID未唯一匹配","已关联；核对审批与签收"))))</f>
        <v/>
      </c>
    </row>
    <row r="82" spans="18:26" ht="34" customHeight="1">
      <c r="R82" s="10">
        <f>IF(A82="","",IF(COUNT(O82:Q82)&lt;3,"待补充",IF(MIN(O82:Q82)&lt;0,"检查输入",SUM(O82:Q82))))</f>
        <v/>
      </c>
      <c r="Z82" s="9">
        <f>IF(A82="","",IF(COUNTIF($A$2:$A$301,A82)&gt;1,"寄样单ID重复",IF(OR(B82="",D82="",S82=""),"待补合作/负责人/状态",IF(COUNTIF('达人线索与合作'!$B$2:$B$301,B82)&lt;&gt;1,"合作ID未唯一匹配","已关联；核对审批与签收"))))</f>
        <v/>
      </c>
    </row>
    <row r="83" spans="18:26" ht="34" customHeight="1">
      <c r="R83" s="10">
        <f>IF(A83="","",IF(COUNT(O83:Q83)&lt;3,"待补充",IF(MIN(O83:Q83)&lt;0,"检查输入",SUM(O83:Q83))))</f>
        <v/>
      </c>
      <c r="Z83" s="9">
        <f>IF(A83="","",IF(COUNTIF($A$2:$A$301,A83)&gt;1,"寄样单ID重复",IF(OR(B83="",D83="",S83=""),"待补合作/负责人/状态",IF(COUNTIF('达人线索与合作'!$B$2:$B$301,B83)&lt;&gt;1,"合作ID未唯一匹配","已关联；核对审批与签收"))))</f>
        <v/>
      </c>
    </row>
    <row r="84" spans="18:26" ht="34" customHeight="1">
      <c r="R84" s="10">
        <f>IF(A84="","",IF(COUNT(O84:Q84)&lt;3,"待补充",IF(MIN(O84:Q84)&lt;0,"检查输入",SUM(O84:Q84))))</f>
        <v/>
      </c>
      <c r="Z84" s="9">
        <f>IF(A84="","",IF(COUNTIF($A$2:$A$301,A84)&gt;1,"寄样单ID重复",IF(OR(B84="",D84="",S84=""),"待补合作/负责人/状态",IF(COUNTIF('达人线索与合作'!$B$2:$B$301,B84)&lt;&gt;1,"合作ID未唯一匹配","已关联；核对审批与签收"))))</f>
        <v/>
      </c>
    </row>
    <row r="85" spans="18:26" ht="34" customHeight="1">
      <c r="R85" s="10">
        <f>IF(A85="","",IF(COUNT(O85:Q85)&lt;3,"待补充",IF(MIN(O85:Q85)&lt;0,"检查输入",SUM(O85:Q85))))</f>
        <v/>
      </c>
      <c r="Z85" s="9">
        <f>IF(A85="","",IF(COUNTIF($A$2:$A$301,A85)&gt;1,"寄样单ID重复",IF(OR(B85="",D85="",S85=""),"待补合作/负责人/状态",IF(COUNTIF('达人线索与合作'!$B$2:$B$301,B85)&lt;&gt;1,"合作ID未唯一匹配","已关联；核对审批与签收"))))</f>
        <v/>
      </c>
    </row>
    <row r="86" spans="18:26" ht="34" customHeight="1">
      <c r="R86" s="10">
        <f>IF(A86="","",IF(COUNT(O86:Q86)&lt;3,"待补充",IF(MIN(O86:Q86)&lt;0,"检查输入",SUM(O86:Q86))))</f>
        <v/>
      </c>
      <c r="Z86" s="9">
        <f>IF(A86="","",IF(COUNTIF($A$2:$A$301,A86)&gt;1,"寄样单ID重复",IF(OR(B86="",D86="",S86=""),"待补合作/负责人/状态",IF(COUNTIF('达人线索与合作'!$B$2:$B$301,B86)&lt;&gt;1,"合作ID未唯一匹配","已关联；核对审批与签收"))))</f>
        <v/>
      </c>
    </row>
    <row r="87" spans="18:26" ht="34" customHeight="1">
      <c r="R87" s="10">
        <f>IF(A87="","",IF(COUNT(O87:Q87)&lt;3,"待补充",IF(MIN(O87:Q87)&lt;0,"检查输入",SUM(O87:Q87))))</f>
        <v/>
      </c>
      <c r="Z87" s="9">
        <f>IF(A87="","",IF(COUNTIF($A$2:$A$301,A87)&gt;1,"寄样单ID重复",IF(OR(B87="",D87="",S87=""),"待补合作/负责人/状态",IF(COUNTIF('达人线索与合作'!$B$2:$B$301,B87)&lt;&gt;1,"合作ID未唯一匹配","已关联；核对审批与签收"))))</f>
        <v/>
      </c>
    </row>
    <row r="88" spans="18:26" ht="34" customHeight="1">
      <c r="R88" s="10">
        <f>IF(A88="","",IF(COUNT(O88:Q88)&lt;3,"待补充",IF(MIN(O88:Q88)&lt;0,"检查输入",SUM(O88:Q88))))</f>
        <v/>
      </c>
      <c r="Z88" s="9">
        <f>IF(A88="","",IF(COUNTIF($A$2:$A$301,A88)&gt;1,"寄样单ID重复",IF(OR(B88="",D88="",S88=""),"待补合作/负责人/状态",IF(COUNTIF('达人线索与合作'!$B$2:$B$301,B88)&lt;&gt;1,"合作ID未唯一匹配","已关联；核对审批与签收"))))</f>
        <v/>
      </c>
    </row>
    <row r="89" spans="18:26" ht="34" customHeight="1">
      <c r="R89" s="10">
        <f>IF(A89="","",IF(COUNT(O89:Q89)&lt;3,"待补充",IF(MIN(O89:Q89)&lt;0,"检查输入",SUM(O89:Q89))))</f>
        <v/>
      </c>
      <c r="Z89" s="9">
        <f>IF(A89="","",IF(COUNTIF($A$2:$A$301,A89)&gt;1,"寄样单ID重复",IF(OR(B89="",D89="",S89=""),"待补合作/负责人/状态",IF(COUNTIF('达人线索与合作'!$B$2:$B$301,B89)&lt;&gt;1,"合作ID未唯一匹配","已关联；核对审批与签收"))))</f>
        <v/>
      </c>
    </row>
    <row r="90" spans="18:26" ht="34" customHeight="1">
      <c r="R90" s="10">
        <f>IF(A90="","",IF(COUNT(O90:Q90)&lt;3,"待补充",IF(MIN(O90:Q90)&lt;0,"检查输入",SUM(O90:Q90))))</f>
        <v/>
      </c>
      <c r="Z90" s="9">
        <f>IF(A90="","",IF(COUNTIF($A$2:$A$301,A90)&gt;1,"寄样单ID重复",IF(OR(B90="",D90="",S90=""),"待补合作/负责人/状态",IF(COUNTIF('达人线索与合作'!$B$2:$B$301,B90)&lt;&gt;1,"合作ID未唯一匹配","已关联；核对审批与签收"))))</f>
        <v/>
      </c>
    </row>
    <row r="91" spans="18:26" ht="34" customHeight="1">
      <c r="R91" s="10">
        <f>IF(A91="","",IF(COUNT(O91:Q91)&lt;3,"待补充",IF(MIN(O91:Q91)&lt;0,"检查输入",SUM(O91:Q91))))</f>
        <v/>
      </c>
      <c r="Z91" s="9">
        <f>IF(A91="","",IF(COUNTIF($A$2:$A$301,A91)&gt;1,"寄样单ID重复",IF(OR(B91="",D91="",S91=""),"待补合作/负责人/状态",IF(COUNTIF('达人线索与合作'!$B$2:$B$301,B91)&lt;&gt;1,"合作ID未唯一匹配","已关联；核对审批与签收"))))</f>
        <v/>
      </c>
    </row>
    <row r="92" spans="18:26" ht="34" customHeight="1">
      <c r="R92" s="10">
        <f>IF(A92="","",IF(COUNT(O92:Q92)&lt;3,"待补充",IF(MIN(O92:Q92)&lt;0,"检查输入",SUM(O92:Q92))))</f>
        <v/>
      </c>
      <c r="Z92" s="9">
        <f>IF(A92="","",IF(COUNTIF($A$2:$A$301,A92)&gt;1,"寄样单ID重复",IF(OR(B92="",D92="",S92=""),"待补合作/负责人/状态",IF(COUNTIF('达人线索与合作'!$B$2:$B$301,B92)&lt;&gt;1,"合作ID未唯一匹配","已关联；核对审批与签收"))))</f>
        <v/>
      </c>
    </row>
    <row r="93" spans="18:26" ht="34" customHeight="1">
      <c r="R93" s="10">
        <f>IF(A93="","",IF(COUNT(O93:Q93)&lt;3,"待补充",IF(MIN(O93:Q93)&lt;0,"检查输入",SUM(O93:Q93))))</f>
        <v/>
      </c>
      <c r="Z93" s="9">
        <f>IF(A93="","",IF(COUNTIF($A$2:$A$301,A93)&gt;1,"寄样单ID重复",IF(OR(B93="",D93="",S93=""),"待补合作/负责人/状态",IF(COUNTIF('达人线索与合作'!$B$2:$B$301,B93)&lt;&gt;1,"合作ID未唯一匹配","已关联；核对审批与签收"))))</f>
        <v/>
      </c>
    </row>
    <row r="94" spans="18:26" ht="34" customHeight="1">
      <c r="R94" s="10">
        <f>IF(A94="","",IF(COUNT(O94:Q94)&lt;3,"待补充",IF(MIN(O94:Q94)&lt;0,"检查输入",SUM(O94:Q94))))</f>
        <v/>
      </c>
      <c r="Z94" s="9">
        <f>IF(A94="","",IF(COUNTIF($A$2:$A$301,A94)&gt;1,"寄样单ID重复",IF(OR(B94="",D94="",S94=""),"待补合作/负责人/状态",IF(COUNTIF('达人线索与合作'!$B$2:$B$301,B94)&lt;&gt;1,"合作ID未唯一匹配","已关联；核对审批与签收"))))</f>
        <v/>
      </c>
    </row>
    <row r="95" spans="18:26" ht="34" customHeight="1">
      <c r="R95" s="10">
        <f>IF(A95="","",IF(COUNT(O95:Q95)&lt;3,"待补充",IF(MIN(O95:Q95)&lt;0,"检查输入",SUM(O95:Q95))))</f>
        <v/>
      </c>
      <c r="Z95" s="9">
        <f>IF(A95="","",IF(COUNTIF($A$2:$A$301,A95)&gt;1,"寄样单ID重复",IF(OR(B95="",D95="",S95=""),"待补合作/负责人/状态",IF(COUNTIF('达人线索与合作'!$B$2:$B$301,B95)&lt;&gt;1,"合作ID未唯一匹配","已关联；核对审批与签收"))))</f>
        <v/>
      </c>
    </row>
    <row r="96" spans="18:26" ht="34" customHeight="1">
      <c r="R96" s="10">
        <f>IF(A96="","",IF(COUNT(O96:Q96)&lt;3,"待补充",IF(MIN(O96:Q96)&lt;0,"检查输入",SUM(O96:Q96))))</f>
        <v/>
      </c>
      <c r="Z96" s="9">
        <f>IF(A96="","",IF(COUNTIF($A$2:$A$301,A96)&gt;1,"寄样单ID重复",IF(OR(B96="",D96="",S96=""),"待补合作/负责人/状态",IF(COUNTIF('达人线索与合作'!$B$2:$B$301,B96)&lt;&gt;1,"合作ID未唯一匹配","已关联；核对审批与签收"))))</f>
        <v/>
      </c>
    </row>
    <row r="97" spans="18:26" ht="34" customHeight="1">
      <c r="R97" s="10">
        <f>IF(A97="","",IF(COUNT(O97:Q97)&lt;3,"待补充",IF(MIN(O97:Q97)&lt;0,"检查输入",SUM(O97:Q97))))</f>
        <v/>
      </c>
      <c r="Z97" s="9">
        <f>IF(A97="","",IF(COUNTIF($A$2:$A$301,A97)&gt;1,"寄样单ID重复",IF(OR(B97="",D97="",S97=""),"待补合作/负责人/状态",IF(COUNTIF('达人线索与合作'!$B$2:$B$301,B97)&lt;&gt;1,"合作ID未唯一匹配","已关联；核对审批与签收"))))</f>
        <v/>
      </c>
    </row>
    <row r="98" spans="18:26" ht="34" customHeight="1">
      <c r="R98" s="10">
        <f>IF(A98="","",IF(COUNT(O98:Q98)&lt;3,"待补充",IF(MIN(O98:Q98)&lt;0,"检查输入",SUM(O98:Q98))))</f>
        <v/>
      </c>
      <c r="Z98" s="9">
        <f>IF(A98="","",IF(COUNTIF($A$2:$A$301,A98)&gt;1,"寄样单ID重复",IF(OR(B98="",D98="",S98=""),"待补合作/负责人/状态",IF(COUNTIF('达人线索与合作'!$B$2:$B$301,B98)&lt;&gt;1,"合作ID未唯一匹配","已关联；核对审批与签收"))))</f>
        <v/>
      </c>
    </row>
    <row r="99" spans="18:26" ht="34" customHeight="1">
      <c r="R99" s="10">
        <f>IF(A99="","",IF(COUNT(O99:Q99)&lt;3,"待补充",IF(MIN(O99:Q99)&lt;0,"检查输入",SUM(O99:Q99))))</f>
        <v/>
      </c>
      <c r="Z99" s="9">
        <f>IF(A99="","",IF(COUNTIF($A$2:$A$301,A99)&gt;1,"寄样单ID重复",IF(OR(B99="",D99="",S99=""),"待补合作/负责人/状态",IF(COUNTIF('达人线索与合作'!$B$2:$B$301,B99)&lt;&gt;1,"合作ID未唯一匹配","已关联；核对审批与签收"))))</f>
        <v/>
      </c>
    </row>
    <row r="100" spans="18:26" ht="34" customHeight="1">
      <c r="R100" s="10">
        <f>IF(A100="","",IF(COUNT(O100:Q100)&lt;3,"待补充",IF(MIN(O100:Q100)&lt;0,"检查输入",SUM(O100:Q100))))</f>
        <v/>
      </c>
      <c r="Z100" s="9">
        <f>IF(A100="","",IF(COUNTIF($A$2:$A$301,A100)&gt;1,"寄样单ID重复",IF(OR(B100="",D100="",S100=""),"待补合作/负责人/状态",IF(COUNTIF('达人线索与合作'!$B$2:$B$301,B100)&lt;&gt;1,"合作ID未唯一匹配","已关联；核对审批与签收"))))</f>
        <v/>
      </c>
    </row>
    <row r="101" spans="18:26" ht="34" customHeight="1">
      <c r="R101" s="10">
        <f>IF(A101="","",IF(COUNT(O101:Q101)&lt;3,"待补充",IF(MIN(O101:Q101)&lt;0,"检查输入",SUM(O101:Q101))))</f>
        <v/>
      </c>
      <c r="Z101" s="9">
        <f>IF(A101="","",IF(COUNTIF($A$2:$A$301,A101)&gt;1,"寄样单ID重复",IF(OR(B101="",D101="",S101=""),"待补合作/负责人/状态",IF(COUNTIF('达人线索与合作'!$B$2:$B$301,B101)&lt;&gt;1,"合作ID未唯一匹配","已关联；核对审批与签收"))))</f>
        <v/>
      </c>
    </row>
    <row r="102" spans="18:26" ht="34" customHeight="1">
      <c r="R102" s="10">
        <f>IF(A102="","",IF(COUNT(O102:Q102)&lt;3,"待补充",IF(MIN(O102:Q102)&lt;0,"检查输入",SUM(O102:Q102))))</f>
        <v/>
      </c>
      <c r="Z102" s="9">
        <f>IF(A102="","",IF(COUNTIF($A$2:$A$301,A102)&gt;1,"寄样单ID重复",IF(OR(B102="",D102="",S102=""),"待补合作/负责人/状态",IF(COUNTIF('达人线索与合作'!$B$2:$B$301,B102)&lt;&gt;1,"合作ID未唯一匹配","已关联；核对审批与签收"))))</f>
        <v/>
      </c>
    </row>
    <row r="103" spans="18:26" ht="34" customHeight="1">
      <c r="R103" s="10">
        <f>IF(A103="","",IF(COUNT(O103:Q103)&lt;3,"待补充",IF(MIN(O103:Q103)&lt;0,"检查输入",SUM(O103:Q103))))</f>
        <v/>
      </c>
      <c r="Z103" s="9">
        <f>IF(A103="","",IF(COUNTIF($A$2:$A$301,A103)&gt;1,"寄样单ID重复",IF(OR(B103="",D103="",S103=""),"待补合作/负责人/状态",IF(COUNTIF('达人线索与合作'!$B$2:$B$301,B103)&lt;&gt;1,"合作ID未唯一匹配","已关联；核对审批与签收"))))</f>
        <v/>
      </c>
    </row>
    <row r="104" spans="18:26" ht="34" customHeight="1">
      <c r="R104" s="10">
        <f>IF(A104="","",IF(COUNT(O104:Q104)&lt;3,"待补充",IF(MIN(O104:Q104)&lt;0,"检查输入",SUM(O104:Q104))))</f>
        <v/>
      </c>
      <c r="Z104" s="9">
        <f>IF(A104="","",IF(COUNTIF($A$2:$A$301,A104)&gt;1,"寄样单ID重复",IF(OR(B104="",D104="",S104=""),"待补合作/负责人/状态",IF(COUNTIF('达人线索与合作'!$B$2:$B$301,B104)&lt;&gt;1,"合作ID未唯一匹配","已关联；核对审批与签收"))))</f>
        <v/>
      </c>
    </row>
    <row r="105" spans="18:26" ht="34" customHeight="1">
      <c r="R105" s="10">
        <f>IF(A105="","",IF(COUNT(O105:Q105)&lt;3,"待补充",IF(MIN(O105:Q105)&lt;0,"检查输入",SUM(O105:Q105))))</f>
        <v/>
      </c>
      <c r="Z105" s="9">
        <f>IF(A105="","",IF(COUNTIF($A$2:$A$301,A105)&gt;1,"寄样单ID重复",IF(OR(B105="",D105="",S105=""),"待补合作/负责人/状态",IF(COUNTIF('达人线索与合作'!$B$2:$B$301,B105)&lt;&gt;1,"合作ID未唯一匹配","已关联；核对审批与签收"))))</f>
        <v/>
      </c>
    </row>
    <row r="106" spans="18:26" ht="34" customHeight="1">
      <c r="R106" s="10">
        <f>IF(A106="","",IF(COUNT(O106:Q106)&lt;3,"待补充",IF(MIN(O106:Q106)&lt;0,"检查输入",SUM(O106:Q106))))</f>
        <v/>
      </c>
      <c r="Z106" s="9">
        <f>IF(A106="","",IF(COUNTIF($A$2:$A$301,A106)&gt;1,"寄样单ID重复",IF(OR(B106="",D106="",S106=""),"待补合作/负责人/状态",IF(COUNTIF('达人线索与合作'!$B$2:$B$301,B106)&lt;&gt;1,"合作ID未唯一匹配","已关联；核对审批与签收"))))</f>
        <v/>
      </c>
    </row>
    <row r="107" spans="18:26" ht="34" customHeight="1">
      <c r="R107" s="10">
        <f>IF(A107="","",IF(COUNT(O107:Q107)&lt;3,"待补充",IF(MIN(O107:Q107)&lt;0,"检查输入",SUM(O107:Q107))))</f>
        <v/>
      </c>
      <c r="Z107" s="9">
        <f>IF(A107="","",IF(COUNTIF($A$2:$A$301,A107)&gt;1,"寄样单ID重复",IF(OR(B107="",D107="",S107=""),"待补合作/负责人/状态",IF(COUNTIF('达人线索与合作'!$B$2:$B$301,B107)&lt;&gt;1,"合作ID未唯一匹配","已关联；核对审批与签收"))))</f>
        <v/>
      </c>
    </row>
    <row r="108" spans="18:26" ht="34" customHeight="1">
      <c r="R108" s="10">
        <f>IF(A108="","",IF(COUNT(O108:Q108)&lt;3,"待补充",IF(MIN(O108:Q108)&lt;0,"检查输入",SUM(O108:Q108))))</f>
        <v/>
      </c>
      <c r="Z108" s="9">
        <f>IF(A108="","",IF(COUNTIF($A$2:$A$301,A108)&gt;1,"寄样单ID重复",IF(OR(B108="",D108="",S108=""),"待补合作/负责人/状态",IF(COUNTIF('达人线索与合作'!$B$2:$B$301,B108)&lt;&gt;1,"合作ID未唯一匹配","已关联；核对审批与签收"))))</f>
        <v/>
      </c>
    </row>
    <row r="109" spans="18:26" ht="34" customHeight="1">
      <c r="R109" s="10">
        <f>IF(A109="","",IF(COUNT(O109:Q109)&lt;3,"待补充",IF(MIN(O109:Q109)&lt;0,"检查输入",SUM(O109:Q109))))</f>
        <v/>
      </c>
      <c r="Z109" s="9">
        <f>IF(A109="","",IF(COUNTIF($A$2:$A$301,A109)&gt;1,"寄样单ID重复",IF(OR(B109="",D109="",S109=""),"待补合作/负责人/状态",IF(COUNTIF('达人线索与合作'!$B$2:$B$301,B109)&lt;&gt;1,"合作ID未唯一匹配","已关联；核对审批与签收"))))</f>
        <v/>
      </c>
    </row>
    <row r="110" spans="18:26" ht="34" customHeight="1">
      <c r="R110" s="10">
        <f>IF(A110="","",IF(COUNT(O110:Q110)&lt;3,"待补充",IF(MIN(O110:Q110)&lt;0,"检查输入",SUM(O110:Q110))))</f>
        <v/>
      </c>
      <c r="Z110" s="9">
        <f>IF(A110="","",IF(COUNTIF($A$2:$A$301,A110)&gt;1,"寄样单ID重复",IF(OR(B110="",D110="",S110=""),"待补合作/负责人/状态",IF(COUNTIF('达人线索与合作'!$B$2:$B$301,B110)&lt;&gt;1,"合作ID未唯一匹配","已关联；核对审批与签收"))))</f>
        <v/>
      </c>
    </row>
    <row r="111" spans="18:26" ht="34" customHeight="1">
      <c r="R111" s="10">
        <f>IF(A111="","",IF(COUNT(O111:Q111)&lt;3,"待补充",IF(MIN(O111:Q111)&lt;0,"检查输入",SUM(O111:Q111))))</f>
        <v/>
      </c>
      <c r="Z111" s="9">
        <f>IF(A111="","",IF(COUNTIF($A$2:$A$301,A111)&gt;1,"寄样单ID重复",IF(OR(B111="",D111="",S111=""),"待补合作/负责人/状态",IF(COUNTIF('达人线索与合作'!$B$2:$B$301,B111)&lt;&gt;1,"合作ID未唯一匹配","已关联；核对审批与签收"))))</f>
        <v/>
      </c>
    </row>
    <row r="112" spans="18:26" ht="34" customHeight="1">
      <c r="R112" s="10">
        <f>IF(A112="","",IF(COUNT(O112:Q112)&lt;3,"待补充",IF(MIN(O112:Q112)&lt;0,"检查输入",SUM(O112:Q112))))</f>
        <v/>
      </c>
      <c r="Z112" s="9">
        <f>IF(A112="","",IF(COUNTIF($A$2:$A$301,A112)&gt;1,"寄样单ID重复",IF(OR(B112="",D112="",S112=""),"待补合作/负责人/状态",IF(COUNTIF('达人线索与合作'!$B$2:$B$301,B112)&lt;&gt;1,"合作ID未唯一匹配","已关联；核对审批与签收"))))</f>
        <v/>
      </c>
    </row>
    <row r="113" spans="18:26" ht="34" customHeight="1">
      <c r="R113" s="10">
        <f>IF(A113="","",IF(COUNT(O113:Q113)&lt;3,"待补充",IF(MIN(O113:Q113)&lt;0,"检查输入",SUM(O113:Q113))))</f>
        <v/>
      </c>
      <c r="Z113" s="9">
        <f>IF(A113="","",IF(COUNTIF($A$2:$A$301,A113)&gt;1,"寄样单ID重复",IF(OR(B113="",D113="",S113=""),"待补合作/负责人/状态",IF(COUNTIF('达人线索与合作'!$B$2:$B$301,B113)&lt;&gt;1,"合作ID未唯一匹配","已关联；核对审批与签收"))))</f>
        <v/>
      </c>
    </row>
    <row r="114" spans="18:26" ht="34" customHeight="1">
      <c r="R114" s="10">
        <f>IF(A114="","",IF(COUNT(O114:Q114)&lt;3,"待补充",IF(MIN(O114:Q114)&lt;0,"检查输入",SUM(O114:Q114))))</f>
        <v/>
      </c>
      <c r="Z114" s="9">
        <f>IF(A114="","",IF(COUNTIF($A$2:$A$301,A114)&gt;1,"寄样单ID重复",IF(OR(B114="",D114="",S114=""),"待补合作/负责人/状态",IF(COUNTIF('达人线索与合作'!$B$2:$B$301,B114)&lt;&gt;1,"合作ID未唯一匹配","已关联；核对审批与签收"))))</f>
        <v/>
      </c>
    </row>
    <row r="115" spans="18:26" ht="34" customHeight="1">
      <c r="R115" s="10">
        <f>IF(A115="","",IF(COUNT(O115:Q115)&lt;3,"待补充",IF(MIN(O115:Q115)&lt;0,"检查输入",SUM(O115:Q115))))</f>
        <v/>
      </c>
      <c r="Z115" s="9">
        <f>IF(A115="","",IF(COUNTIF($A$2:$A$301,A115)&gt;1,"寄样单ID重复",IF(OR(B115="",D115="",S115=""),"待补合作/负责人/状态",IF(COUNTIF('达人线索与合作'!$B$2:$B$301,B115)&lt;&gt;1,"合作ID未唯一匹配","已关联；核对审批与签收"))))</f>
        <v/>
      </c>
    </row>
    <row r="116" spans="18:26" ht="34" customHeight="1">
      <c r="R116" s="10">
        <f>IF(A116="","",IF(COUNT(O116:Q116)&lt;3,"待补充",IF(MIN(O116:Q116)&lt;0,"检查输入",SUM(O116:Q116))))</f>
        <v/>
      </c>
      <c r="Z116" s="9">
        <f>IF(A116="","",IF(COUNTIF($A$2:$A$301,A116)&gt;1,"寄样单ID重复",IF(OR(B116="",D116="",S116=""),"待补合作/负责人/状态",IF(COUNTIF('达人线索与合作'!$B$2:$B$301,B116)&lt;&gt;1,"合作ID未唯一匹配","已关联；核对审批与签收"))))</f>
        <v/>
      </c>
    </row>
    <row r="117" spans="18:26" ht="34" customHeight="1">
      <c r="R117" s="10">
        <f>IF(A117="","",IF(COUNT(O117:Q117)&lt;3,"待补充",IF(MIN(O117:Q117)&lt;0,"检查输入",SUM(O117:Q117))))</f>
        <v/>
      </c>
      <c r="Z117" s="9">
        <f>IF(A117="","",IF(COUNTIF($A$2:$A$301,A117)&gt;1,"寄样单ID重复",IF(OR(B117="",D117="",S117=""),"待补合作/负责人/状态",IF(COUNTIF('达人线索与合作'!$B$2:$B$301,B117)&lt;&gt;1,"合作ID未唯一匹配","已关联；核对审批与签收"))))</f>
        <v/>
      </c>
    </row>
    <row r="118" spans="18:26" ht="34" customHeight="1">
      <c r="R118" s="10">
        <f>IF(A118="","",IF(COUNT(O118:Q118)&lt;3,"待补充",IF(MIN(O118:Q118)&lt;0,"检查输入",SUM(O118:Q118))))</f>
        <v/>
      </c>
      <c r="Z118" s="9">
        <f>IF(A118="","",IF(COUNTIF($A$2:$A$301,A118)&gt;1,"寄样单ID重复",IF(OR(B118="",D118="",S118=""),"待补合作/负责人/状态",IF(COUNTIF('达人线索与合作'!$B$2:$B$301,B118)&lt;&gt;1,"合作ID未唯一匹配","已关联；核对审批与签收"))))</f>
        <v/>
      </c>
    </row>
    <row r="119" spans="18:26" ht="34" customHeight="1">
      <c r="R119" s="10">
        <f>IF(A119="","",IF(COUNT(O119:Q119)&lt;3,"待补充",IF(MIN(O119:Q119)&lt;0,"检查输入",SUM(O119:Q119))))</f>
        <v/>
      </c>
      <c r="Z119" s="9">
        <f>IF(A119="","",IF(COUNTIF($A$2:$A$301,A119)&gt;1,"寄样单ID重复",IF(OR(B119="",D119="",S119=""),"待补合作/负责人/状态",IF(COUNTIF('达人线索与合作'!$B$2:$B$301,B119)&lt;&gt;1,"合作ID未唯一匹配","已关联；核对审批与签收"))))</f>
        <v/>
      </c>
    </row>
    <row r="120" spans="18:26" ht="34" customHeight="1">
      <c r="R120" s="10">
        <f>IF(A120="","",IF(COUNT(O120:Q120)&lt;3,"待补充",IF(MIN(O120:Q120)&lt;0,"检查输入",SUM(O120:Q120))))</f>
        <v/>
      </c>
      <c r="Z120" s="9">
        <f>IF(A120="","",IF(COUNTIF($A$2:$A$301,A120)&gt;1,"寄样单ID重复",IF(OR(B120="",D120="",S120=""),"待补合作/负责人/状态",IF(COUNTIF('达人线索与合作'!$B$2:$B$301,B120)&lt;&gt;1,"合作ID未唯一匹配","已关联；核对审批与签收"))))</f>
        <v/>
      </c>
    </row>
    <row r="121" spans="18:26" ht="34" customHeight="1">
      <c r="R121" s="10">
        <f>IF(A121="","",IF(COUNT(O121:Q121)&lt;3,"待补充",IF(MIN(O121:Q121)&lt;0,"检查输入",SUM(O121:Q121))))</f>
        <v/>
      </c>
      <c r="Z121" s="9">
        <f>IF(A121="","",IF(COUNTIF($A$2:$A$301,A121)&gt;1,"寄样单ID重复",IF(OR(B121="",D121="",S121=""),"待补合作/负责人/状态",IF(COUNTIF('达人线索与合作'!$B$2:$B$301,B121)&lt;&gt;1,"合作ID未唯一匹配","已关联；核对审批与签收"))))</f>
        <v/>
      </c>
    </row>
    <row r="122" spans="18:26" ht="34" customHeight="1">
      <c r="R122" s="10">
        <f>IF(A122="","",IF(COUNT(O122:Q122)&lt;3,"待补充",IF(MIN(O122:Q122)&lt;0,"检查输入",SUM(O122:Q122))))</f>
        <v/>
      </c>
      <c r="Z122" s="9">
        <f>IF(A122="","",IF(COUNTIF($A$2:$A$301,A122)&gt;1,"寄样单ID重复",IF(OR(B122="",D122="",S122=""),"待补合作/负责人/状态",IF(COUNTIF('达人线索与合作'!$B$2:$B$301,B122)&lt;&gt;1,"合作ID未唯一匹配","已关联；核对审批与签收"))))</f>
        <v/>
      </c>
    </row>
    <row r="123" spans="18:26" ht="34" customHeight="1">
      <c r="R123" s="10">
        <f>IF(A123="","",IF(COUNT(O123:Q123)&lt;3,"待补充",IF(MIN(O123:Q123)&lt;0,"检查输入",SUM(O123:Q123))))</f>
        <v/>
      </c>
      <c r="Z123" s="9">
        <f>IF(A123="","",IF(COUNTIF($A$2:$A$301,A123)&gt;1,"寄样单ID重复",IF(OR(B123="",D123="",S123=""),"待补合作/负责人/状态",IF(COUNTIF('达人线索与合作'!$B$2:$B$301,B123)&lt;&gt;1,"合作ID未唯一匹配","已关联；核对审批与签收"))))</f>
        <v/>
      </c>
    </row>
    <row r="124" spans="18:26" ht="34" customHeight="1">
      <c r="R124" s="10">
        <f>IF(A124="","",IF(COUNT(O124:Q124)&lt;3,"待补充",IF(MIN(O124:Q124)&lt;0,"检查输入",SUM(O124:Q124))))</f>
        <v/>
      </c>
      <c r="Z124" s="9">
        <f>IF(A124="","",IF(COUNTIF($A$2:$A$301,A124)&gt;1,"寄样单ID重复",IF(OR(B124="",D124="",S124=""),"待补合作/负责人/状态",IF(COUNTIF('达人线索与合作'!$B$2:$B$301,B124)&lt;&gt;1,"合作ID未唯一匹配","已关联；核对审批与签收"))))</f>
        <v/>
      </c>
    </row>
    <row r="125" spans="18:26" ht="34" customHeight="1">
      <c r="R125" s="10">
        <f>IF(A125="","",IF(COUNT(O125:Q125)&lt;3,"待补充",IF(MIN(O125:Q125)&lt;0,"检查输入",SUM(O125:Q125))))</f>
        <v/>
      </c>
      <c r="Z125" s="9">
        <f>IF(A125="","",IF(COUNTIF($A$2:$A$301,A125)&gt;1,"寄样单ID重复",IF(OR(B125="",D125="",S125=""),"待补合作/负责人/状态",IF(COUNTIF('达人线索与合作'!$B$2:$B$301,B125)&lt;&gt;1,"合作ID未唯一匹配","已关联；核对审批与签收"))))</f>
        <v/>
      </c>
    </row>
    <row r="126" spans="18:26" ht="34" customHeight="1">
      <c r="R126" s="10">
        <f>IF(A126="","",IF(COUNT(O126:Q126)&lt;3,"待补充",IF(MIN(O126:Q126)&lt;0,"检查输入",SUM(O126:Q126))))</f>
        <v/>
      </c>
      <c r="Z126" s="9">
        <f>IF(A126="","",IF(COUNTIF($A$2:$A$301,A126)&gt;1,"寄样单ID重复",IF(OR(B126="",D126="",S126=""),"待补合作/负责人/状态",IF(COUNTIF('达人线索与合作'!$B$2:$B$301,B126)&lt;&gt;1,"合作ID未唯一匹配","已关联；核对审批与签收"))))</f>
        <v/>
      </c>
    </row>
    <row r="127" spans="18:26" ht="34" customHeight="1">
      <c r="R127" s="10">
        <f>IF(A127="","",IF(COUNT(O127:Q127)&lt;3,"待补充",IF(MIN(O127:Q127)&lt;0,"检查输入",SUM(O127:Q127))))</f>
        <v/>
      </c>
      <c r="Z127" s="9">
        <f>IF(A127="","",IF(COUNTIF($A$2:$A$301,A127)&gt;1,"寄样单ID重复",IF(OR(B127="",D127="",S127=""),"待补合作/负责人/状态",IF(COUNTIF('达人线索与合作'!$B$2:$B$301,B127)&lt;&gt;1,"合作ID未唯一匹配","已关联；核对审批与签收"))))</f>
        <v/>
      </c>
    </row>
    <row r="128" spans="18:26" ht="34" customHeight="1">
      <c r="R128" s="10">
        <f>IF(A128="","",IF(COUNT(O128:Q128)&lt;3,"待补充",IF(MIN(O128:Q128)&lt;0,"检查输入",SUM(O128:Q128))))</f>
        <v/>
      </c>
      <c r="Z128" s="9">
        <f>IF(A128="","",IF(COUNTIF($A$2:$A$301,A128)&gt;1,"寄样单ID重复",IF(OR(B128="",D128="",S128=""),"待补合作/负责人/状态",IF(COUNTIF('达人线索与合作'!$B$2:$B$301,B128)&lt;&gt;1,"合作ID未唯一匹配","已关联；核对审批与签收"))))</f>
        <v/>
      </c>
    </row>
    <row r="129" spans="18:26" ht="34" customHeight="1">
      <c r="R129" s="10">
        <f>IF(A129="","",IF(COUNT(O129:Q129)&lt;3,"待补充",IF(MIN(O129:Q129)&lt;0,"检查输入",SUM(O129:Q129))))</f>
        <v/>
      </c>
      <c r="Z129" s="9">
        <f>IF(A129="","",IF(COUNTIF($A$2:$A$301,A129)&gt;1,"寄样单ID重复",IF(OR(B129="",D129="",S129=""),"待补合作/负责人/状态",IF(COUNTIF('达人线索与合作'!$B$2:$B$301,B129)&lt;&gt;1,"合作ID未唯一匹配","已关联；核对审批与签收"))))</f>
        <v/>
      </c>
    </row>
    <row r="130" spans="18:26" ht="34" customHeight="1">
      <c r="R130" s="10">
        <f>IF(A130="","",IF(COUNT(O130:Q130)&lt;3,"待补充",IF(MIN(O130:Q130)&lt;0,"检查输入",SUM(O130:Q130))))</f>
        <v/>
      </c>
      <c r="Z130" s="9">
        <f>IF(A130="","",IF(COUNTIF($A$2:$A$301,A130)&gt;1,"寄样单ID重复",IF(OR(B130="",D130="",S130=""),"待补合作/负责人/状态",IF(COUNTIF('达人线索与合作'!$B$2:$B$301,B130)&lt;&gt;1,"合作ID未唯一匹配","已关联；核对审批与签收"))))</f>
        <v/>
      </c>
    </row>
    <row r="131" spans="18:26" ht="34" customHeight="1">
      <c r="R131" s="10">
        <f>IF(A131="","",IF(COUNT(O131:Q131)&lt;3,"待补充",IF(MIN(O131:Q131)&lt;0,"检查输入",SUM(O131:Q131))))</f>
        <v/>
      </c>
      <c r="Z131" s="9">
        <f>IF(A131="","",IF(COUNTIF($A$2:$A$301,A131)&gt;1,"寄样单ID重复",IF(OR(B131="",D131="",S131=""),"待补合作/负责人/状态",IF(COUNTIF('达人线索与合作'!$B$2:$B$301,B131)&lt;&gt;1,"合作ID未唯一匹配","已关联；核对审批与签收"))))</f>
        <v/>
      </c>
    </row>
    <row r="132" spans="18:26" ht="34" customHeight="1">
      <c r="R132" s="10">
        <f>IF(A132="","",IF(COUNT(O132:Q132)&lt;3,"待补充",IF(MIN(O132:Q132)&lt;0,"检查输入",SUM(O132:Q132))))</f>
        <v/>
      </c>
      <c r="Z132" s="9">
        <f>IF(A132="","",IF(COUNTIF($A$2:$A$301,A132)&gt;1,"寄样单ID重复",IF(OR(B132="",D132="",S132=""),"待补合作/负责人/状态",IF(COUNTIF('达人线索与合作'!$B$2:$B$301,B132)&lt;&gt;1,"合作ID未唯一匹配","已关联；核对审批与签收"))))</f>
        <v/>
      </c>
    </row>
    <row r="133" spans="18:26" ht="34" customHeight="1">
      <c r="R133" s="10">
        <f>IF(A133="","",IF(COUNT(O133:Q133)&lt;3,"待补充",IF(MIN(O133:Q133)&lt;0,"检查输入",SUM(O133:Q133))))</f>
        <v/>
      </c>
      <c r="Z133" s="9">
        <f>IF(A133="","",IF(COUNTIF($A$2:$A$301,A133)&gt;1,"寄样单ID重复",IF(OR(B133="",D133="",S133=""),"待补合作/负责人/状态",IF(COUNTIF('达人线索与合作'!$B$2:$B$301,B133)&lt;&gt;1,"合作ID未唯一匹配","已关联；核对审批与签收"))))</f>
        <v/>
      </c>
    </row>
    <row r="134" spans="18:26" ht="34" customHeight="1">
      <c r="R134" s="10">
        <f>IF(A134="","",IF(COUNT(O134:Q134)&lt;3,"待补充",IF(MIN(O134:Q134)&lt;0,"检查输入",SUM(O134:Q134))))</f>
        <v/>
      </c>
      <c r="Z134" s="9">
        <f>IF(A134="","",IF(COUNTIF($A$2:$A$301,A134)&gt;1,"寄样单ID重复",IF(OR(B134="",D134="",S134=""),"待补合作/负责人/状态",IF(COUNTIF('达人线索与合作'!$B$2:$B$301,B134)&lt;&gt;1,"合作ID未唯一匹配","已关联；核对审批与签收"))))</f>
        <v/>
      </c>
    </row>
    <row r="135" spans="18:26" ht="34" customHeight="1">
      <c r="R135" s="10">
        <f>IF(A135="","",IF(COUNT(O135:Q135)&lt;3,"待补充",IF(MIN(O135:Q135)&lt;0,"检查输入",SUM(O135:Q135))))</f>
        <v/>
      </c>
      <c r="Z135" s="9">
        <f>IF(A135="","",IF(COUNTIF($A$2:$A$301,A135)&gt;1,"寄样单ID重复",IF(OR(B135="",D135="",S135=""),"待补合作/负责人/状态",IF(COUNTIF('达人线索与合作'!$B$2:$B$301,B135)&lt;&gt;1,"合作ID未唯一匹配","已关联；核对审批与签收"))))</f>
        <v/>
      </c>
    </row>
    <row r="136" spans="18:26" ht="34" customHeight="1">
      <c r="R136" s="10">
        <f>IF(A136="","",IF(COUNT(O136:Q136)&lt;3,"待补充",IF(MIN(O136:Q136)&lt;0,"检查输入",SUM(O136:Q136))))</f>
        <v/>
      </c>
      <c r="Z136" s="9">
        <f>IF(A136="","",IF(COUNTIF($A$2:$A$301,A136)&gt;1,"寄样单ID重复",IF(OR(B136="",D136="",S136=""),"待补合作/负责人/状态",IF(COUNTIF('达人线索与合作'!$B$2:$B$301,B136)&lt;&gt;1,"合作ID未唯一匹配","已关联；核对审批与签收"))))</f>
        <v/>
      </c>
    </row>
    <row r="137" spans="18:26" ht="34" customHeight="1">
      <c r="R137" s="10">
        <f>IF(A137="","",IF(COUNT(O137:Q137)&lt;3,"待补充",IF(MIN(O137:Q137)&lt;0,"检查输入",SUM(O137:Q137))))</f>
        <v/>
      </c>
      <c r="Z137" s="9">
        <f>IF(A137="","",IF(COUNTIF($A$2:$A$301,A137)&gt;1,"寄样单ID重复",IF(OR(B137="",D137="",S137=""),"待补合作/负责人/状态",IF(COUNTIF('达人线索与合作'!$B$2:$B$301,B137)&lt;&gt;1,"合作ID未唯一匹配","已关联；核对审批与签收"))))</f>
        <v/>
      </c>
    </row>
    <row r="138" spans="18:26" ht="34" customHeight="1">
      <c r="R138" s="10">
        <f>IF(A138="","",IF(COUNT(O138:Q138)&lt;3,"待补充",IF(MIN(O138:Q138)&lt;0,"检查输入",SUM(O138:Q138))))</f>
        <v/>
      </c>
      <c r="Z138" s="9">
        <f>IF(A138="","",IF(COUNTIF($A$2:$A$301,A138)&gt;1,"寄样单ID重复",IF(OR(B138="",D138="",S138=""),"待补合作/负责人/状态",IF(COUNTIF('达人线索与合作'!$B$2:$B$301,B138)&lt;&gt;1,"合作ID未唯一匹配","已关联；核对审批与签收"))))</f>
        <v/>
      </c>
    </row>
    <row r="139" spans="18:26" ht="34" customHeight="1">
      <c r="R139" s="10">
        <f>IF(A139="","",IF(COUNT(O139:Q139)&lt;3,"待补充",IF(MIN(O139:Q139)&lt;0,"检查输入",SUM(O139:Q139))))</f>
        <v/>
      </c>
      <c r="Z139" s="9">
        <f>IF(A139="","",IF(COUNTIF($A$2:$A$301,A139)&gt;1,"寄样单ID重复",IF(OR(B139="",D139="",S139=""),"待补合作/负责人/状态",IF(COUNTIF('达人线索与合作'!$B$2:$B$301,B139)&lt;&gt;1,"合作ID未唯一匹配","已关联；核对审批与签收"))))</f>
        <v/>
      </c>
    </row>
    <row r="140" spans="18:26" ht="34" customHeight="1">
      <c r="R140" s="10">
        <f>IF(A140="","",IF(COUNT(O140:Q140)&lt;3,"待补充",IF(MIN(O140:Q140)&lt;0,"检查输入",SUM(O140:Q140))))</f>
        <v/>
      </c>
      <c r="Z140" s="9">
        <f>IF(A140="","",IF(COUNTIF($A$2:$A$301,A140)&gt;1,"寄样单ID重复",IF(OR(B140="",D140="",S140=""),"待补合作/负责人/状态",IF(COUNTIF('达人线索与合作'!$B$2:$B$301,B140)&lt;&gt;1,"合作ID未唯一匹配","已关联；核对审批与签收"))))</f>
        <v/>
      </c>
    </row>
    <row r="141" spans="18:26" ht="34" customHeight="1">
      <c r="R141" s="10">
        <f>IF(A141="","",IF(COUNT(O141:Q141)&lt;3,"待补充",IF(MIN(O141:Q141)&lt;0,"检查输入",SUM(O141:Q141))))</f>
        <v/>
      </c>
      <c r="Z141" s="9">
        <f>IF(A141="","",IF(COUNTIF($A$2:$A$301,A141)&gt;1,"寄样单ID重复",IF(OR(B141="",D141="",S141=""),"待补合作/负责人/状态",IF(COUNTIF('达人线索与合作'!$B$2:$B$301,B141)&lt;&gt;1,"合作ID未唯一匹配","已关联；核对审批与签收"))))</f>
        <v/>
      </c>
    </row>
    <row r="142" spans="18:26" ht="34" customHeight="1">
      <c r="R142" s="10">
        <f>IF(A142="","",IF(COUNT(O142:Q142)&lt;3,"待补充",IF(MIN(O142:Q142)&lt;0,"检查输入",SUM(O142:Q142))))</f>
        <v/>
      </c>
      <c r="Z142" s="9">
        <f>IF(A142="","",IF(COUNTIF($A$2:$A$301,A142)&gt;1,"寄样单ID重复",IF(OR(B142="",D142="",S142=""),"待补合作/负责人/状态",IF(COUNTIF('达人线索与合作'!$B$2:$B$301,B142)&lt;&gt;1,"合作ID未唯一匹配","已关联；核对审批与签收"))))</f>
        <v/>
      </c>
    </row>
    <row r="143" spans="18:26" ht="34" customHeight="1">
      <c r="R143" s="10">
        <f>IF(A143="","",IF(COUNT(O143:Q143)&lt;3,"待补充",IF(MIN(O143:Q143)&lt;0,"检查输入",SUM(O143:Q143))))</f>
        <v/>
      </c>
      <c r="Z143" s="9">
        <f>IF(A143="","",IF(COUNTIF($A$2:$A$301,A143)&gt;1,"寄样单ID重复",IF(OR(B143="",D143="",S143=""),"待补合作/负责人/状态",IF(COUNTIF('达人线索与合作'!$B$2:$B$301,B143)&lt;&gt;1,"合作ID未唯一匹配","已关联；核对审批与签收"))))</f>
        <v/>
      </c>
    </row>
    <row r="144" spans="18:26" ht="34" customHeight="1">
      <c r="R144" s="10">
        <f>IF(A144="","",IF(COUNT(O144:Q144)&lt;3,"待补充",IF(MIN(O144:Q144)&lt;0,"检查输入",SUM(O144:Q144))))</f>
        <v/>
      </c>
      <c r="Z144" s="9">
        <f>IF(A144="","",IF(COUNTIF($A$2:$A$301,A144)&gt;1,"寄样单ID重复",IF(OR(B144="",D144="",S144=""),"待补合作/负责人/状态",IF(COUNTIF('达人线索与合作'!$B$2:$B$301,B144)&lt;&gt;1,"合作ID未唯一匹配","已关联；核对审批与签收"))))</f>
        <v/>
      </c>
    </row>
    <row r="145" spans="18:26" ht="34" customHeight="1">
      <c r="R145" s="10">
        <f>IF(A145="","",IF(COUNT(O145:Q145)&lt;3,"待补充",IF(MIN(O145:Q145)&lt;0,"检查输入",SUM(O145:Q145))))</f>
        <v/>
      </c>
      <c r="Z145" s="9">
        <f>IF(A145="","",IF(COUNTIF($A$2:$A$301,A145)&gt;1,"寄样单ID重复",IF(OR(B145="",D145="",S145=""),"待补合作/负责人/状态",IF(COUNTIF('达人线索与合作'!$B$2:$B$301,B145)&lt;&gt;1,"合作ID未唯一匹配","已关联；核对审批与签收"))))</f>
        <v/>
      </c>
    </row>
    <row r="146" spans="18:26" ht="34" customHeight="1">
      <c r="R146" s="10">
        <f>IF(A146="","",IF(COUNT(O146:Q146)&lt;3,"待补充",IF(MIN(O146:Q146)&lt;0,"检查输入",SUM(O146:Q146))))</f>
        <v/>
      </c>
      <c r="Z146" s="9">
        <f>IF(A146="","",IF(COUNTIF($A$2:$A$301,A146)&gt;1,"寄样单ID重复",IF(OR(B146="",D146="",S146=""),"待补合作/负责人/状态",IF(COUNTIF('达人线索与合作'!$B$2:$B$301,B146)&lt;&gt;1,"合作ID未唯一匹配","已关联；核对审批与签收"))))</f>
        <v/>
      </c>
    </row>
    <row r="147" spans="18:26" ht="34" customHeight="1">
      <c r="R147" s="10">
        <f>IF(A147="","",IF(COUNT(O147:Q147)&lt;3,"待补充",IF(MIN(O147:Q147)&lt;0,"检查输入",SUM(O147:Q147))))</f>
        <v/>
      </c>
      <c r="Z147" s="9">
        <f>IF(A147="","",IF(COUNTIF($A$2:$A$301,A147)&gt;1,"寄样单ID重复",IF(OR(B147="",D147="",S147=""),"待补合作/负责人/状态",IF(COUNTIF('达人线索与合作'!$B$2:$B$301,B147)&lt;&gt;1,"合作ID未唯一匹配","已关联；核对审批与签收"))))</f>
        <v/>
      </c>
    </row>
    <row r="148" spans="18:26" ht="34" customHeight="1">
      <c r="R148" s="10">
        <f>IF(A148="","",IF(COUNT(O148:Q148)&lt;3,"待补充",IF(MIN(O148:Q148)&lt;0,"检查输入",SUM(O148:Q148))))</f>
        <v/>
      </c>
      <c r="Z148" s="9">
        <f>IF(A148="","",IF(COUNTIF($A$2:$A$301,A148)&gt;1,"寄样单ID重复",IF(OR(B148="",D148="",S148=""),"待补合作/负责人/状态",IF(COUNTIF('达人线索与合作'!$B$2:$B$301,B148)&lt;&gt;1,"合作ID未唯一匹配","已关联；核对审批与签收"))))</f>
        <v/>
      </c>
    </row>
    <row r="149" spans="18:26" ht="34" customHeight="1">
      <c r="R149" s="10">
        <f>IF(A149="","",IF(COUNT(O149:Q149)&lt;3,"待补充",IF(MIN(O149:Q149)&lt;0,"检查输入",SUM(O149:Q149))))</f>
        <v/>
      </c>
      <c r="Z149" s="9">
        <f>IF(A149="","",IF(COUNTIF($A$2:$A$301,A149)&gt;1,"寄样单ID重复",IF(OR(B149="",D149="",S149=""),"待补合作/负责人/状态",IF(COUNTIF('达人线索与合作'!$B$2:$B$301,B149)&lt;&gt;1,"合作ID未唯一匹配","已关联；核对审批与签收"))))</f>
        <v/>
      </c>
    </row>
    <row r="150" spans="18:26" ht="34" customHeight="1">
      <c r="R150" s="10">
        <f>IF(A150="","",IF(COUNT(O150:Q150)&lt;3,"待补充",IF(MIN(O150:Q150)&lt;0,"检查输入",SUM(O150:Q150))))</f>
        <v/>
      </c>
      <c r="Z150" s="9">
        <f>IF(A150="","",IF(COUNTIF($A$2:$A$301,A150)&gt;1,"寄样单ID重复",IF(OR(B150="",D150="",S150=""),"待补合作/负责人/状态",IF(COUNTIF('达人线索与合作'!$B$2:$B$301,B150)&lt;&gt;1,"合作ID未唯一匹配","已关联；核对审批与签收"))))</f>
        <v/>
      </c>
    </row>
    <row r="151" spans="18:26" ht="34" customHeight="1">
      <c r="R151" s="10">
        <f>IF(A151="","",IF(COUNT(O151:Q151)&lt;3,"待补充",IF(MIN(O151:Q151)&lt;0,"检查输入",SUM(O151:Q151))))</f>
        <v/>
      </c>
      <c r="Z151" s="9">
        <f>IF(A151="","",IF(COUNTIF($A$2:$A$301,A151)&gt;1,"寄样单ID重复",IF(OR(B151="",D151="",S151=""),"待补合作/负责人/状态",IF(COUNTIF('达人线索与合作'!$B$2:$B$301,B151)&lt;&gt;1,"合作ID未唯一匹配","已关联；核对审批与签收"))))</f>
        <v/>
      </c>
    </row>
    <row r="152" spans="18:26" ht="34" customHeight="1">
      <c r="R152" s="10">
        <f>IF(A152="","",IF(COUNT(O152:Q152)&lt;3,"待补充",IF(MIN(O152:Q152)&lt;0,"检查输入",SUM(O152:Q152))))</f>
        <v/>
      </c>
      <c r="Z152" s="9">
        <f>IF(A152="","",IF(COUNTIF($A$2:$A$301,A152)&gt;1,"寄样单ID重复",IF(OR(B152="",D152="",S152=""),"待补合作/负责人/状态",IF(COUNTIF('达人线索与合作'!$B$2:$B$301,B152)&lt;&gt;1,"合作ID未唯一匹配","已关联；核对审批与签收"))))</f>
        <v/>
      </c>
    </row>
    <row r="153" spans="18:26" ht="34" customHeight="1">
      <c r="R153" s="10">
        <f>IF(A153="","",IF(COUNT(O153:Q153)&lt;3,"待补充",IF(MIN(O153:Q153)&lt;0,"检查输入",SUM(O153:Q153))))</f>
        <v/>
      </c>
      <c r="Z153" s="9">
        <f>IF(A153="","",IF(COUNTIF($A$2:$A$301,A153)&gt;1,"寄样单ID重复",IF(OR(B153="",D153="",S153=""),"待补合作/负责人/状态",IF(COUNTIF('达人线索与合作'!$B$2:$B$301,B153)&lt;&gt;1,"合作ID未唯一匹配","已关联；核对审批与签收"))))</f>
        <v/>
      </c>
    </row>
    <row r="154" spans="18:26" ht="34" customHeight="1">
      <c r="R154" s="10">
        <f>IF(A154="","",IF(COUNT(O154:Q154)&lt;3,"待补充",IF(MIN(O154:Q154)&lt;0,"检查输入",SUM(O154:Q154))))</f>
        <v/>
      </c>
      <c r="Z154" s="9">
        <f>IF(A154="","",IF(COUNTIF($A$2:$A$301,A154)&gt;1,"寄样单ID重复",IF(OR(B154="",D154="",S154=""),"待补合作/负责人/状态",IF(COUNTIF('达人线索与合作'!$B$2:$B$301,B154)&lt;&gt;1,"合作ID未唯一匹配","已关联；核对审批与签收"))))</f>
        <v/>
      </c>
    </row>
    <row r="155" spans="18:26" ht="34" customHeight="1">
      <c r="R155" s="10">
        <f>IF(A155="","",IF(COUNT(O155:Q155)&lt;3,"待补充",IF(MIN(O155:Q155)&lt;0,"检查输入",SUM(O155:Q155))))</f>
        <v/>
      </c>
      <c r="Z155" s="9">
        <f>IF(A155="","",IF(COUNTIF($A$2:$A$301,A155)&gt;1,"寄样单ID重复",IF(OR(B155="",D155="",S155=""),"待补合作/负责人/状态",IF(COUNTIF('达人线索与合作'!$B$2:$B$301,B155)&lt;&gt;1,"合作ID未唯一匹配","已关联；核对审批与签收"))))</f>
        <v/>
      </c>
    </row>
    <row r="156" spans="18:26" ht="34" customHeight="1">
      <c r="R156" s="10">
        <f>IF(A156="","",IF(COUNT(O156:Q156)&lt;3,"待补充",IF(MIN(O156:Q156)&lt;0,"检查输入",SUM(O156:Q156))))</f>
        <v/>
      </c>
      <c r="Z156" s="9">
        <f>IF(A156="","",IF(COUNTIF($A$2:$A$301,A156)&gt;1,"寄样单ID重复",IF(OR(B156="",D156="",S156=""),"待补合作/负责人/状态",IF(COUNTIF('达人线索与合作'!$B$2:$B$301,B156)&lt;&gt;1,"合作ID未唯一匹配","已关联；核对审批与签收"))))</f>
        <v/>
      </c>
    </row>
    <row r="157" spans="18:26" ht="34" customHeight="1">
      <c r="R157" s="10">
        <f>IF(A157="","",IF(COUNT(O157:Q157)&lt;3,"待补充",IF(MIN(O157:Q157)&lt;0,"检查输入",SUM(O157:Q157))))</f>
        <v/>
      </c>
      <c r="Z157" s="9">
        <f>IF(A157="","",IF(COUNTIF($A$2:$A$301,A157)&gt;1,"寄样单ID重复",IF(OR(B157="",D157="",S157=""),"待补合作/负责人/状态",IF(COUNTIF('达人线索与合作'!$B$2:$B$301,B157)&lt;&gt;1,"合作ID未唯一匹配","已关联；核对审批与签收"))))</f>
        <v/>
      </c>
    </row>
    <row r="158" spans="18:26" ht="34" customHeight="1">
      <c r="R158" s="10">
        <f>IF(A158="","",IF(COUNT(O158:Q158)&lt;3,"待补充",IF(MIN(O158:Q158)&lt;0,"检查输入",SUM(O158:Q158))))</f>
        <v/>
      </c>
      <c r="Z158" s="9">
        <f>IF(A158="","",IF(COUNTIF($A$2:$A$301,A158)&gt;1,"寄样单ID重复",IF(OR(B158="",D158="",S158=""),"待补合作/负责人/状态",IF(COUNTIF('达人线索与合作'!$B$2:$B$301,B158)&lt;&gt;1,"合作ID未唯一匹配","已关联；核对审批与签收"))))</f>
        <v/>
      </c>
    </row>
    <row r="159" spans="18:26" ht="34" customHeight="1">
      <c r="R159" s="10">
        <f>IF(A159="","",IF(COUNT(O159:Q159)&lt;3,"待补充",IF(MIN(O159:Q159)&lt;0,"检查输入",SUM(O159:Q159))))</f>
        <v/>
      </c>
      <c r="Z159" s="9">
        <f>IF(A159="","",IF(COUNTIF($A$2:$A$301,A159)&gt;1,"寄样单ID重复",IF(OR(B159="",D159="",S159=""),"待补合作/负责人/状态",IF(COUNTIF('达人线索与合作'!$B$2:$B$301,B159)&lt;&gt;1,"合作ID未唯一匹配","已关联；核对审批与签收"))))</f>
        <v/>
      </c>
    </row>
    <row r="160" spans="18:26" ht="34" customHeight="1">
      <c r="R160" s="10">
        <f>IF(A160="","",IF(COUNT(O160:Q160)&lt;3,"待补充",IF(MIN(O160:Q160)&lt;0,"检查输入",SUM(O160:Q160))))</f>
        <v/>
      </c>
      <c r="Z160" s="9">
        <f>IF(A160="","",IF(COUNTIF($A$2:$A$301,A160)&gt;1,"寄样单ID重复",IF(OR(B160="",D160="",S160=""),"待补合作/负责人/状态",IF(COUNTIF('达人线索与合作'!$B$2:$B$301,B160)&lt;&gt;1,"合作ID未唯一匹配","已关联；核对审批与签收"))))</f>
        <v/>
      </c>
    </row>
    <row r="161" spans="18:26" ht="34" customHeight="1">
      <c r="R161" s="10">
        <f>IF(A161="","",IF(COUNT(O161:Q161)&lt;3,"待补充",IF(MIN(O161:Q161)&lt;0,"检查输入",SUM(O161:Q161))))</f>
        <v/>
      </c>
      <c r="Z161" s="9">
        <f>IF(A161="","",IF(COUNTIF($A$2:$A$301,A161)&gt;1,"寄样单ID重复",IF(OR(B161="",D161="",S161=""),"待补合作/负责人/状态",IF(COUNTIF('达人线索与合作'!$B$2:$B$301,B161)&lt;&gt;1,"合作ID未唯一匹配","已关联；核对审批与签收"))))</f>
        <v/>
      </c>
    </row>
    <row r="162" spans="18:26" ht="34" customHeight="1">
      <c r="R162" s="10">
        <f>IF(A162="","",IF(COUNT(O162:Q162)&lt;3,"待补充",IF(MIN(O162:Q162)&lt;0,"检查输入",SUM(O162:Q162))))</f>
        <v/>
      </c>
      <c r="Z162" s="9">
        <f>IF(A162="","",IF(COUNTIF($A$2:$A$301,A162)&gt;1,"寄样单ID重复",IF(OR(B162="",D162="",S162=""),"待补合作/负责人/状态",IF(COUNTIF('达人线索与合作'!$B$2:$B$301,B162)&lt;&gt;1,"合作ID未唯一匹配","已关联；核对审批与签收"))))</f>
        <v/>
      </c>
    </row>
    <row r="163" spans="18:26" ht="34" customHeight="1">
      <c r="R163" s="10">
        <f>IF(A163="","",IF(COUNT(O163:Q163)&lt;3,"待补充",IF(MIN(O163:Q163)&lt;0,"检查输入",SUM(O163:Q163))))</f>
        <v/>
      </c>
      <c r="Z163" s="9">
        <f>IF(A163="","",IF(COUNTIF($A$2:$A$301,A163)&gt;1,"寄样单ID重复",IF(OR(B163="",D163="",S163=""),"待补合作/负责人/状态",IF(COUNTIF('达人线索与合作'!$B$2:$B$301,B163)&lt;&gt;1,"合作ID未唯一匹配","已关联；核对审批与签收"))))</f>
        <v/>
      </c>
    </row>
    <row r="164" spans="18:26" ht="34" customHeight="1">
      <c r="R164" s="10">
        <f>IF(A164="","",IF(COUNT(O164:Q164)&lt;3,"待补充",IF(MIN(O164:Q164)&lt;0,"检查输入",SUM(O164:Q164))))</f>
        <v/>
      </c>
      <c r="Z164" s="9">
        <f>IF(A164="","",IF(COUNTIF($A$2:$A$301,A164)&gt;1,"寄样单ID重复",IF(OR(B164="",D164="",S164=""),"待补合作/负责人/状态",IF(COUNTIF('达人线索与合作'!$B$2:$B$301,B164)&lt;&gt;1,"合作ID未唯一匹配","已关联；核对审批与签收"))))</f>
        <v/>
      </c>
    </row>
    <row r="165" spans="18:26" ht="34" customHeight="1">
      <c r="R165" s="10">
        <f>IF(A165="","",IF(COUNT(O165:Q165)&lt;3,"待补充",IF(MIN(O165:Q165)&lt;0,"检查输入",SUM(O165:Q165))))</f>
        <v/>
      </c>
      <c r="Z165" s="9">
        <f>IF(A165="","",IF(COUNTIF($A$2:$A$301,A165)&gt;1,"寄样单ID重复",IF(OR(B165="",D165="",S165=""),"待补合作/负责人/状态",IF(COUNTIF('达人线索与合作'!$B$2:$B$301,B165)&lt;&gt;1,"合作ID未唯一匹配","已关联；核对审批与签收"))))</f>
        <v/>
      </c>
    </row>
    <row r="166" spans="18:26" ht="34" customHeight="1">
      <c r="R166" s="10">
        <f>IF(A166="","",IF(COUNT(O166:Q166)&lt;3,"待补充",IF(MIN(O166:Q166)&lt;0,"检查输入",SUM(O166:Q166))))</f>
        <v/>
      </c>
      <c r="Z166" s="9">
        <f>IF(A166="","",IF(COUNTIF($A$2:$A$301,A166)&gt;1,"寄样单ID重复",IF(OR(B166="",D166="",S166=""),"待补合作/负责人/状态",IF(COUNTIF('达人线索与合作'!$B$2:$B$301,B166)&lt;&gt;1,"合作ID未唯一匹配","已关联；核对审批与签收"))))</f>
        <v/>
      </c>
    </row>
    <row r="167" spans="18:26" ht="34" customHeight="1">
      <c r="R167" s="10">
        <f>IF(A167="","",IF(COUNT(O167:Q167)&lt;3,"待补充",IF(MIN(O167:Q167)&lt;0,"检查输入",SUM(O167:Q167))))</f>
        <v/>
      </c>
      <c r="Z167" s="9">
        <f>IF(A167="","",IF(COUNTIF($A$2:$A$301,A167)&gt;1,"寄样单ID重复",IF(OR(B167="",D167="",S167=""),"待补合作/负责人/状态",IF(COUNTIF('达人线索与合作'!$B$2:$B$301,B167)&lt;&gt;1,"合作ID未唯一匹配","已关联；核对审批与签收"))))</f>
        <v/>
      </c>
    </row>
    <row r="168" spans="18:26" ht="34" customHeight="1">
      <c r="R168" s="10">
        <f>IF(A168="","",IF(COUNT(O168:Q168)&lt;3,"待补充",IF(MIN(O168:Q168)&lt;0,"检查输入",SUM(O168:Q168))))</f>
        <v/>
      </c>
      <c r="Z168" s="9">
        <f>IF(A168="","",IF(COUNTIF($A$2:$A$301,A168)&gt;1,"寄样单ID重复",IF(OR(B168="",D168="",S168=""),"待补合作/负责人/状态",IF(COUNTIF('达人线索与合作'!$B$2:$B$301,B168)&lt;&gt;1,"合作ID未唯一匹配","已关联；核对审批与签收"))))</f>
        <v/>
      </c>
    </row>
    <row r="169" spans="18:26" ht="34" customHeight="1">
      <c r="R169" s="10">
        <f>IF(A169="","",IF(COUNT(O169:Q169)&lt;3,"待补充",IF(MIN(O169:Q169)&lt;0,"检查输入",SUM(O169:Q169))))</f>
        <v/>
      </c>
      <c r="Z169" s="9">
        <f>IF(A169="","",IF(COUNTIF($A$2:$A$301,A169)&gt;1,"寄样单ID重复",IF(OR(B169="",D169="",S169=""),"待补合作/负责人/状态",IF(COUNTIF('达人线索与合作'!$B$2:$B$301,B169)&lt;&gt;1,"合作ID未唯一匹配","已关联；核对审批与签收"))))</f>
        <v/>
      </c>
    </row>
    <row r="170" spans="18:26" ht="34" customHeight="1">
      <c r="R170" s="10">
        <f>IF(A170="","",IF(COUNT(O170:Q170)&lt;3,"待补充",IF(MIN(O170:Q170)&lt;0,"检查输入",SUM(O170:Q170))))</f>
        <v/>
      </c>
      <c r="Z170" s="9">
        <f>IF(A170="","",IF(COUNTIF($A$2:$A$301,A170)&gt;1,"寄样单ID重复",IF(OR(B170="",D170="",S170=""),"待补合作/负责人/状态",IF(COUNTIF('达人线索与合作'!$B$2:$B$301,B170)&lt;&gt;1,"合作ID未唯一匹配","已关联；核对审批与签收"))))</f>
        <v/>
      </c>
    </row>
    <row r="171" spans="18:26" ht="34" customHeight="1">
      <c r="R171" s="10">
        <f>IF(A171="","",IF(COUNT(O171:Q171)&lt;3,"待补充",IF(MIN(O171:Q171)&lt;0,"检查输入",SUM(O171:Q171))))</f>
        <v/>
      </c>
      <c r="Z171" s="9">
        <f>IF(A171="","",IF(COUNTIF($A$2:$A$301,A171)&gt;1,"寄样单ID重复",IF(OR(B171="",D171="",S171=""),"待补合作/负责人/状态",IF(COUNTIF('达人线索与合作'!$B$2:$B$301,B171)&lt;&gt;1,"合作ID未唯一匹配","已关联；核对审批与签收"))))</f>
        <v/>
      </c>
    </row>
    <row r="172" spans="18:26" ht="34" customHeight="1">
      <c r="R172" s="10">
        <f>IF(A172="","",IF(COUNT(O172:Q172)&lt;3,"待补充",IF(MIN(O172:Q172)&lt;0,"检查输入",SUM(O172:Q172))))</f>
        <v/>
      </c>
      <c r="Z172" s="9">
        <f>IF(A172="","",IF(COUNTIF($A$2:$A$301,A172)&gt;1,"寄样单ID重复",IF(OR(B172="",D172="",S172=""),"待补合作/负责人/状态",IF(COUNTIF('达人线索与合作'!$B$2:$B$301,B172)&lt;&gt;1,"合作ID未唯一匹配","已关联；核对审批与签收"))))</f>
        <v/>
      </c>
    </row>
    <row r="173" spans="18:26" ht="34" customHeight="1">
      <c r="R173" s="10">
        <f>IF(A173="","",IF(COUNT(O173:Q173)&lt;3,"待补充",IF(MIN(O173:Q173)&lt;0,"检查输入",SUM(O173:Q173))))</f>
        <v/>
      </c>
      <c r="Z173" s="9">
        <f>IF(A173="","",IF(COUNTIF($A$2:$A$301,A173)&gt;1,"寄样单ID重复",IF(OR(B173="",D173="",S173=""),"待补合作/负责人/状态",IF(COUNTIF('达人线索与合作'!$B$2:$B$301,B173)&lt;&gt;1,"合作ID未唯一匹配","已关联；核对审批与签收"))))</f>
        <v/>
      </c>
    </row>
    <row r="174" spans="18:26" ht="34" customHeight="1">
      <c r="R174" s="10">
        <f>IF(A174="","",IF(COUNT(O174:Q174)&lt;3,"待补充",IF(MIN(O174:Q174)&lt;0,"检查输入",SUM(O174:Q174))))</f>
        <v/>
      </c>
      <c r="Z174" s="9">
        <f>IF(A174="","",IF(COUNTIF($A$2:$A$301,A174)&gt;1,"寄样单ID重复",IF(OR(B174="",D174="",S174=""),"待补合作/负责人/状态",IF(COUNTIF('达人线索与合作'!$B$2:$B$301,B174)&lt;&gt;1,"合作ID未唯一匹配","已关联；核对审批与签收"))))</f>
        <v/>
      </c>
    </row>
    <row r="175" spans="18:26" ht="34" customHeight="1">
      <c r="R175" s="10">
        <f>IF(A175="","",IF(COUNT(O175:Q175)&lt;3,"待补充",IF(MIN(O175:Q175)&lt;0,"检查输入",SUM(O175:Q175))))</f>
        <v/>
      </c>
      <c r="Z175" s="9">
        <f>IF(A175="","",IF(COUNTIF($A$2:$A$301,A175)&gt;1,"寄样单ID重复",IF(OR(B175="",D175="",S175=""),"待补合作/负责人/状态",IF(COUNTIF('达人线索与合作'!$B$2:$B$301,B175)&lt;&gt;1,"合作ID未唯一匹配","已关联；核对审批与签收"))))</f>
        <v/>
      </c>
    </row>
    <row r="176" spans="18:26" ht="34" customHeight="1">
      <c r="R176" s="10">
        <f>IF(A176="","",IF(COUNT(O176:Q176)&lt;3,"待补充",IF(MIN(O176:Q176)&lt;0,"检查输入",SUM(O176:Q176))))</f>
        <v/>
      </c>
      <c r="Z176" s="9">
        <f>IF(A176="","",IF(COUNTIF($A$2:$A$301,A176)&gt;1,"寄样单ID重复",IF(OR(B176="",D176="",S176=""),"待补合作/负责人/状态",IF(COUNTIF('达人线索与合作'!$B$2:$B$301,B176)&lt;&gt;1,"合作ID未唯一匹配","已关联；核对审批与签收"))))</f>
        <v/>
      </c>
    </row>
    <row r="177" spans="18:26" ht="34" customHeight="1">
      <c r="R177" s="10">
        <f>IF(A177="","",IF(COUNT(O177:Q177)&lt;3,"待补充",IF(MIN(O177:Q177)&lt;0,"检查输入",SUM(O177:Q177))))</f>
        <v/>
      </c>
      <c r="Z177" s="9">
        <f>IF(A177="","",IF(COUNTIF($A$2:$A$301,A177)&gt;1,"寄样单ID重复",IF(OR(B177="",D177="",S177=""),"待补合作/负责人/状态",IF(COUNTIF('达人线索与合作'!$B$2:$B$301,B177)&lt;&gt;1,"合作ID未唯一匹配","已关联；核对审批与签收"))))</f>
        <v/>
      </c>
    </row>
    <row r="178" spans="18:26" ht="34" customHeight="1">
      <c r="R178" s="10">
        <f>IF(A178="","",IF(COUNT(O178:Q178)&lt;3,"待补充",IF(MIN(O178:Q178)&lt;0,"检查输入",SUM(O178:Q178))))</f>
        <v/>
      </c>
      <c r="Z178" s="9">
        <f>IF(A178="","",IF(COUNTIF($A$2:$A$301,A178)&gt;1,"寄样单ID重复",IF(OR(B178="",D178="",S178=""),"待补合作/负责人/状态",IF(COUNTIF('达人线索与合作'!$B$2:$B$301,B178)&lt;&gt;1,"合作ID未唯一匹配","已关联；核对审批与签收"))))</f>
        <v/>
      </c>
    </row>
    <row r="179" spans="18:26" ht="34" customHeight="1">
      <c r="R179" s="10">
        <f>IF(A179="","",IF(COUNT(O179:Q179)&lt;3,"待补充",IF(MIN(O179:Q179)&lt;0,"检查输入",SUM(O179:Q179))))</f>
        <v/>
      </c>
      <c r="Z179" s="9">
        <f>IF(A179="","",IF(COUNTIF($A$2:$A$301,A179)&gt;1,"寄样单ID重复",IF(OR(B179="",D179="",S179=""),"待补合作/负责人/状态",IF(COUNTIF('达人线索与合作'!$B$2:$B$301,B179)&lt;&gt;1,"合作ID未唯一匹配","已关联；核对审批与签收"))))</f>
        <v/>
      </c>
    </row>
    <row r="180" spans="18:26" ht="34" customHeight="1">
      <c r="R180" s="10">
        <f>IF(A180="","",IF(COUNT(O180:Q180)&lt;3,"待补充",IF(MIN(O180:Q180)&lt;0,"检查输入",SUM(O180:Q180))))</f>
        <v/>
      </c>
      <c r="Z180" s="9">
        <f>IF(A180="","",IF(COUNTIF($A$2:$A$301,A180)&gt;1,"寄样单ID重复",IF(OR(B180="",D180="",S180=""),"待补合作/负责人/状态",IF(COUNTIF('达人线索与合作'!$B$2:$B$301,B180)&lt;&gt;1,"合作ID未唯一匹配","已关联；核对审批与签收"))))</f>
        <v/>
      </c>
    </row>
    <row r="181" spans="18:26" ht="34" customHeight="1">
      <c r="R181" s="10">
        <f>IF(A181="","",IF(COUNT(O181:Q181)&lt;3,"待补充",IF(MIN(O181:Q181)&lt;0,"检查输入",SUM(O181:Q181))))</f>
        <v/>
      </c>
      <c r="Z181" s="9">
        <f>IF(A181="","",IF(COUNTIF($A$2:$A$301,A181)&gt;1,"寄样单ID重复",IF(OR(B181="",D181="",S181=""),"待补合作/负责人/状态",IF(COUNTIF('达人线索与合作'!$B$2:$B$301,B181)&lt;&gt;1,"合作ID未唯一匹配","已关联；核对审批与签收"))))</f>
        <v/>
      </c>
    </row>
    <row r="182" spans="18:26" ht="34" customHeight="1">
      <c r="R182" s="10">
        <f>IF(A182="","",IF(COUNT(O182:Q182)&lt;3,"待补充",IF(MIN(O182:Q182)&lt;0,"检查输入",SUM(O182:Q182))))</f>
        <v/>
      </c>
      <c r="Z182" s="9">
        <f>IF(A182="","",IF(COUNTIF($A$2:$A$301,A182)&gt;1,"寄样单ID重复",IF(OR(B182="",D182="",S182=""),"待补合作/负责人/状态",IF(COUNTIF('达人线索与合作'!$B$2:$B$301,B182)&lt;&gt;1,"合作ID未唯一匹配","已关联；核对审批与签收"))))</f>
        <v/>
      </c>
    </row>
    <row r="183" spans="18:26" ht="34" customHeight="1">
      <c r="R183" s="10">
        <f>IF(A183="","",IF(COUNT(O183:Q183)&lt;3,"待补充",IF(MIN(O183:Q183)&lt;0,"检查输入",SUM(O183:Q183))))</f>
        <v/>
      </c>
      <c r="Z183" s="9">
        <f>IF(A183="","",IF(COUNTIF($A$2:$A$301,A183)&gt;1,"寄样单ID重复",IF(OR(B183="",D183="",S183=""),"待补合作/负责人/状态",IF(COUNTIF('达人线索与合作'!$B$2:$B$301,B183)&lt;&gt;1,"合作ID未唯一匹配","已关联；核对审批与签收"))))</f>
        <v/>
      </c>
    </row>
    <row r="184" spans="18:26" ht="34" customHeight="1">
      <c r="R184" s="10">
        <f>IF(A184="","",IF(COUNT(O184:Q184)&lt;3,"待补充",IF(MIN(O184:Q184)&lt;0,"检查输入",SUM(O184:Q184))))</f>
        <v/>
      </c>
      <c r="Z184" s="9">
        <f>IF(A184="","",IF(COUNTIF($A$2:$A$301,A184)&gt;1,"寄样单ID重复",IF(OR(B184="",D184="",S184=""),"待补合作/负责人/状态",IF(COUNTIF('达人线索与合作'!$B$2:$B$301,B184)&lt;&gt;1,"合作ID未唯一匹配","已关联；核对审批与签收"))))</f>
        <v/>
      </c>
    </row>
    <row r="185" spans="18:26" ht="34" customHeight="1">
      <c r="R185" s="10">
        <f>IF(A185="","",IF(COUNT(O185:Q185)&lt;3,"待补充",IF(MIN(O185:Q185)&lt;0,"检查输入",SUM(O185:Q185))))</f>
        <v/>
      </c>
      <c r="Z185" s="9">
        <f>IF(A185="","",IF(COUNTIF($A$2:$A$301,A185)&gt;1,"寄样单ID重复",IF(OR(B185="",D185="",S185=""),"待补合作/负责人/状态",IF(COUNTIF('达人线索与合作'!$B$2:$B$301,B185)&lt;&gt;1,"合作ID未唯一匹配","已关联；核对审批与签收"))))</f>
        <v/>
      </c>
    </row>
    <row r="186" spans="18:26" ht="34" customHeight="1">
      <c r="R186" s="10">
        <f>IF(A186="","",IF(COUNT(O186:Q186)&lt;3,"待补充",IF(MIN(O186:Q186)&lt;0,"检查输入",SUM(O186:Q186))))</f>
        <v/>
      </c>
      <c r="Z186" s="9">
        <f>IF(A186="","",IF(COUNTIF($A$2:$A$301,A186)&gt;1,"寄样单ID重复",IF(OR(B186="",D186="",S186=""),"待补合作/负责人/状态",IF(COUNTIF('达人线索与合作'!$B$2:$B$301,B186)&lt;&gt;1,"合作ID未唯一匹配","已关联；核对审批与签收"))))</f>
        <v/>
      </c>
    </row>
    <row r="187" spans="18:26" ht="34" customHeight="1">
      <c r="R187" s="10">
        <f>IF(A187="","",IF(COUNT(O187:Q187)&lt;3,"待补充",IF(MIN(O187:Q187)&lt;0,"检查输入",SUM(O187:Q187))))</f>
        <v/>
      </c>
      <c r="Z187" s="9">
        <f>IF(A187="","",IF(COUNTIF($A$2:$A$301,A187)&gt;1,"寄样单ID重复",IF(OR(B187="",D187="",S187=""),"待补合作/负责人/状态",IF(COUNTIF('达人线索与合作'!$B$2:$B$301,B187)&lt;&gt;1,"合作ID未唯一匹配","已关联；核对审批与签收"))))</f>
        <v/>
      </c>
    </row>
    <row r="188" spans="18:26" ht="34" customHeight="1">
      <c r="R188" s="10">
        <f>IF(A188="","",IF(COUNT(O188:Q188)&lt;3,"待补充",IF(MIN(O188:Q188)&lt;0,"检查输入",SUM(O188:Q188))))</f>
        <v/>
      </c>
      <c r="Z188" s="9">
        <f>IF(A188="","",IF(COUNTIF($A$2:$A$301,A188)&gt;1,"寄样单ID重复",IF(OR(B188="",D188="",S188=""),"待补合作/负责人/状态",IF(COUNTIF('达人线索与合作'!$B$2:$B$301,B188)&lt;&gt;1,"合作ID未唯一匹配","已关联；核对审批与签收"))))</f>
        <v/>
      </c>
    </row>
    <row r="189" spans="18:26" ht="34" customHeight="1">
      <c r="R189" s="10">
        <f>IF(A189="","",IF(COUNT(O189:Q189)&lt;3,"待补充",IF(MIN(O189:Q189)&lt;0,"检查输入",SUM(O189:Q189))))</f>
        <v/>
      </c>
      <c r="Z189" s="9">
        <f>IF(A189="","",IF(COUNTIF($A$2:$A$301,A189)&gt;1,"寄样单ID重复",IF(OR(B189="",D189="",S189=""),"待补合作/负责人/状态",IF(COUNTIF('达人线索与合作'!$B$2:$B$301,B189)&lt;&gt;1,"合作ID未唯一匹配","已关联；核对审批与签收"))))</f>
        <v/>
      </c>
    </row>
    <row r="190" spans="18:26" ht="34" customHeight="1">
      <c r="R190" s="10">
        <f>IF(A190="","",IF(COUNT(O190:Q190)&lt;3,"待补充",IF(MIN(O190:Q190)&lt;0,"检查输入",SUM(O190:Q190))))</f>
        <v/>
      </c>
      <c r="Z190" s="9">
        <f>IF(A190="","",IF(COUNTIF($A$2:$A$301,A190)&gt;1,"寄样单ID重复",IF(OR(B190="",D190="",S190=""),"待补合作/负责人/状态",IF(COUNTIF('达人线索与合作'!$B$2:$B$301,B190)&lt;&gt;1,"合作ID未唯一匹配","已关联；核对审批与签收"))))</f>
        <v/>
      </c>
    </row>
    <row r="191" spans="18:26" ht="34" customHeight="1">
      <c r="R191" s="10">
        <f>IF(A191="","",IF(COUNT(O191:Q191)&lt;3,"待补充",IF(MIN(O191:Q191)&lt;0,"检查输入",SUM(O191:Q191))))</f>
        <v/>
      </c>
      <c r="Z191" s="9">
        <f>IF(A191="","",IF(COUNTIF($A$2:$A$301,A191)&gt;1,"寄样单ID重复",IF(OR(B191="",D191="",S191=""),"待补合作/负责人/状态",IF(COUNTIF('达人线索与合作'!$B$2:$B$301,B191)&lt;&gt;1,"合作ID未唯一匹配","已关联；核对审批与签收"))))</f>
        <v/>
      </c>
    </row>
    <row r="192" spans="18:26" ht="34" customHeight="1">
      <c r="R192" s="10">
        <f>IF(A192="","",IF(COUNT(O192:Q192)&lt;3,"待补充",IF(MIN(O192:Q192)&lt;0,"检查输入",SUM(O192:Q192))))</f>
        <v/>
      </c>
      <c r="Z192" s="9">
        <f>IF(A192="","",IF(COUNTIF($A$2:$A$301,A192)&gt;1,"寄样单ID重复",IF(OR(B192="",D192="",S192=""),"待补合作/负责人/状态",IF(COUNTIF('达人线索与合作'!$B$2:$B$301,B192)&lt;&gt;1,"合作ID未唯一匹配","已关联；核对审批与签收"))))</f>
        <v/>
      </c>
    </row>
    <row r="193" spans="18:26" ht="34" customHeight="1">
      <c r="R193" s="10">
        <f>IF(A193="","",IF(COUNT(O193:Q193)&lt;3,"待补充",IF(MIN(O193:Q193)&lt;0,"检查输入",SUM(O193:Q193))))</f>
        <v/>
      </c>
      <c r="Z193" s="9">
        <f>IF(A193="","",IF(COUNTIF($A$2:$A$301,A193)&gt;1,"寄样单ID重复",IF(OR(B193="",D193="",S193=""),"待补合作/负责人/状态",IF(COUNTIF('达人线索与合作'!$B$2:$B$301,B193)&lt;&gt;1,"合作ID未唯一匹配","已关联；核对审批与签收"))))</f>
        <v/>
      </c>
    </row>
    <row r="194" spans="18:26" ht="34" customHeight="1">
      <c r="R194" s="10">
        <f>IF(A194="","",IF(COUNT(O194:Q194)&lt;3,"待补充",IF(MIN(O194:Q194)&lt;0,"检查输入",SUM(O194:Q194))))</f>
        <v/>
      </c>
      <c r="Z194" s="9">
        <f>IF(A194="","",IF(COUNTIF($A$2:$A$301,A194)&gt;1,"寄样单ID重复",IF(OR(B194="",D194="",S194=""),"待补合作/负责人/状态",IF(COUNTIF('达人线索与合作'!$B$2:$B$301,B194)&lt;&gt;1,"合作ID未唯一匹配","已关联；核对审批与签收"))))</f>
        <v/>
      </c>
    </row>
    <row r="195" spans="18:26" ht="34" customHeight="1">
      <c r="R195" s="10">
        <f>IF(A195="","",IF(COUNT(O195:Q195)&lt;3,"待补充",IF(MIN(O195:Q195)&lt;0,"检查输入",SUM(O195:Q195))))</f>
        <v/>
      </c>
      <c r="Z195" s="9">
        <f>IF(A195="","",IF(COUNTIF($A$2:$A$301,A195)&gt;1,"寄样单ID重复",IF(OR(B195="",D195="",S195=""),"待补合作/负责人/状态",IF(COUNTIF('达人线索与合作'!$B$2:$B$301,B195)&lt;&gt;1,"合作ID未唯一匹配","已关联；核对审批与签收"))))</f>
        <v/>
      </c>
    </row>
    <row r="196" spans="18:26" ht="34" customHeight="1">
      <c r="R196" s="10">
        <f>IF(A196="","",IF(COUNT(O196:Q196)&lt;3,"待补充",IF(MIN(O196:Q196)&lt;0,"检查输入",SUM(O196:Q196))))</f>
        <v/>
      </c>
      <c r="Z196" s="9">
        <f>IF(A196="","",IF(COUNTIF($A$2:$A$301,A196)&gt;1,"寄样单ID重复",IF(OR(B196="",D196="",S196=""),"待补合作/负责人/状态",IF(COUNTIF('达人线索与合作'!$B$2:$B$301,B196)&lt;&gt;1,"合作ID未唯一匹配","已关联；核对审批与签收"))))</f>
        <v/>
      </c>
    </row>
    <row r="197" spans="18:26" ht="34" customHeight="1">
      <c r="R197" s="10">
        <f>IF(A197="","",IF(COUNT(O197:Q197)&lt;3,"待补充",IF(MIN(O197:Q197)&lt;0,"检查输入",SUM(O197:Q197))))</f>
        <v/>
      </c>
      <c r="Z197" s="9">
        <f>IF(A197="","",IF(COUNTIF($A$2:$A$301,A197)&gt;1,"寄样单ID重复",IF(OR(B197="",D197="",S197=""),"待补合作/负责人/状态",IF(COUNTIF('达人线索与合作'!$B$2:$B$301,B197)&lt;&gt;1,"合作ID未唯一匹配","已关联；核对审批与签收"))))</f>
        <v/>
      </c>
    </row>
    <row r="198" spans="18:26" ht="34" customHeight="1">
      <c r="R198" s="10">
        <f>IF(A198="","",IF(COUNT(O198:Q198)&lt;3,"待补充",IF(MIN(O198:Q198)&lt;0,"检查输入",SUM(O198:Q198))))</f>
        <v/>
      </c>
      <c r="Z198" s="9">
        <f>IF(A198="","",IF(COUNTIF($A$2:$A$301,A198)&gt;1,"寄样单ID重复",IF(OR(B198="",D198="",S198=""),"待补合作/负责人/状态",IF(COUNTIF('达人线索与合作'!$B$2:$B$301,B198)&lt;&gt;1,"合作ID未唯一匹配","已关联；核对审批与签收"))))</f>
        <v/>
      </c>
    </row>
    <row r="199" spans="18:26" ht="34" customHeight="1">
      <c r="R199" s="10">
        <f>IF(A199="","",IF(COUNT(O199:Q199)&lt;3,"待补充",IF(MIN(O199:Q199)&lt;0,"检查输入",SUM(O199:Q199))))</f>
        <v/>
      </c>
      <c r="Z199" s="9">
        <f>IF(A199="","",IF(COUNTIF($A$2:$A$301,A199)&gt;1,"寄样单ID重复",IF(OR(B199="",D199="",S199=""),"待补合作/负责人/状态",IF(COUNTIF('达人线索与合作'!$B$2:$B$301,B199)&lt;&gt;1,"合作ID未唯一匹配","已关联；核对审批与签收"))))</f>
        <v/>
      </c>
    </row>
    <row r="200" spans="18:26" ht="34" customHeight="1">
      <c r="R200" s="10">
        <f>IF(A200="","",IF(COUNT(O200:Q200)&lt;3,"待补充",IF(MIN(O200:Q200)&lt;0,"检查输入",SUM(O200:Q200))))</f>
        <v/>
      </c>
      <c r="Z200" s="9">
        <f>IF(A200="","",IF(COUNTIF($A$2:$A$301,A200)&gt;1,"寄样单ID重复",IF(OR(B200="",D200="",S200=""),"待补合作/负责人/状态",IF(COUNTIF('达人线索与合作'!$B$2:$B$301,B200)&lt;&gt;1,"合作ID未唯一匹配","已关联；核对审批与签收"))))</f>
        <v/>
      </c>
    </row>
    <row r="201" spans="18:26" ht="34" customHeight="1">
      <c r="R201" s="10">
        <f>IF(A201="","",IF(COUNT(O201:Q201)&lt;3,"待补充",IF(MIN(O201:Q201)&lt;0,"检查输入",SUM(O201:Q201))))</f>
        <v/>
      </c>
      <c r="Z201" s="9">
        <f>IF(A201="","",IF(COUNTIF($A$2:$A$301,A201)&gt;1,"寄样单ID重复",IF(OR(B201="",D201="",S201=""),"待补合作/负责人/状态",IF(COUNTIF('达人线索与合作'!$B$2:$B$301,B201)&lt;&gt;1,"合作ID未唯一匹配","已关联；核对审批与签收"))))</f>
        <v/>
      </c>
    </row>
    <row r="202" spans="18:26" ht="34" customHeight="1">
      <c r="R202" s="10">
        <f>IF(A202="","",IF(COUNT(O202:Q202)&lt;3,"待补充",IF(MIN(O202:Q202)&lt;0,"检查输入",SUM(O202:Q202))))</f>
        <v/>
      </c>
      <c r="Z202" s="9">
        <f>IF(A202="","",IF(COUNTIF($A$2:$A$301,A202)&gt;1,"寄样单ID重复",IF(OR(B202="",D202="",S202=""),"待补合作/负责人/状态",IF(COUNTIF('达人线索与合作'!$B$2:$B$301,B202)&lt;&gt;1,"合作ID未唯一匹配","已关联；核对审批与签收"))))</f>
        <v/>
      </c>
    </row>
    <row r="203" spans="18:26" ht="34" customHeight="1">
      <c r="R203" s="10">
        <f>IF(A203="","",IF(COUNT(O203:Q203)&lt;3,"待补充",IF(MIN(O203:Q203)&lt;0,"检查输入",SUM(O203:Q203))))</f>
        <v/>
      </c>
      <c r="Z203" s="9">
        <f>IF(A203="","",IF(COUNTIF($A$2:$A$301,A203)&gt;1,"寄样单ID重复",IF(OR(B203="",D203="",S203=""),"待补合作/负责人/状态",IF(COUNTIF('达人线索与合作'!$B$2:$B$301,B203)&lt;&gt;1,"合作ID未唯一匹配","已关联；核对审批与签收"))))</f>
        <v/>
      </c>
    </row>
    <row r="204" spans="18:26" ht="34" customHeight="1">
      <c r="R204" s="10">
        <f>IF(A204="","",IF(COUNT(O204:Q204)&lt;3,"待补充",IF(MIN(O204:Q204)&lt;0,"检查输入",SUM(O204:Q204))))</f>
        <v/>
      </c>
      <c r="Z204" s="9">
        <f>IF(A204="","",IF(COUNTIF($A$2:$A$301,A204)&gt;1,"寄样单ID重复",IF(OR(B204="",D204="",S204=""),"待补合作/负责人/状态",IF(COUNTIF('达人线索与合作'!$B$2:$B$301,B204)&lt;&gt;1,"合作ID未唯一匹配","已关联；核对审批与签收"))))</f>
        <v/>
      </c>
    </row>
    <row r="205" spans="18:26" ht="34" customHeight="1">
      <c r="R205" s="10">
        <f>IF(A205="","",IF(COUNT(O205:Q205)&lt;3,"待补充",IF(MIN(O205:Q205)&lt;0,"检查输入",SUM(O205:Q205))))</f>
        <v/>
      </c>
      <c r="Z205" s="9">
        <f>IF(A205="","",IF(COUNTIF($A$2:$A$301,A205)&gt;1,"寄样单ID重复",IF(OR(B205="",D205="",S205=""),"待补合作/负责人/状态",IF(COUNTIF('达人线索与合作'!$B$2:$B$301,B205)&lt;&gt;1,"合作ID未唯一匹配","已关联；核对审批与签收"))))</f>
        <v/>
      </c>
    </row>
    <row r="206" spans="18:26" ht="34" customHeight="1">
      <c r="R206" s="10">
        <f>IF(A206="","",IF(COUNT(O206:Q206)&lt;3,"待补充",IF(MIN(O206:Q206)&lt;0,"检查输入",SUM(O206:Q206))))</f>
        <v/>
      </c>
      <c r="Z206" s="9">
        <f>IF(A206="","",IF(COUNTIF($A$2:$A$301,A206)&gt;1,"寄样单ID重复",IF(OR(B206="",D206="",S206=""),"待补合作/负责人/状态",IF(COUNTIF('达人线索与合作'!$B$2:$B$301,B206)&lt;&gt;1,"合作ID未唯一匹配","已关联；核对审批与签收"))))</f>
        <v/>
      </c>
    </row>
    <row r="207" spans="18:26" ht="34" customHeight="1">
      <c r="R207" s="10">
        <f>IF(A207="","",IF(COUNT(O207:Q207)&lt;3,"待补充",IF(MIN(O207:Q207)&lt;0,"检查输入",SUM(O207:Q207))))</f>
        <v/>
      </c>
      <c r="Z207" s="9">
        <f>IF(A207="","",IF(COUNTIF($A$2:$A$301,A207)&gt;1,"寄样单ID重复",IF(OR(B207="",D207="",S207=""),"待补合作/负责人/状态",IF(COUNTIF('达人线索与合作'!$B$2:$B$301,B207)&lt;&gt;1,"合作ID未唯一匹配","已关联；核对审批与签收"))))</f>
        <v/>
      </c>
    </row>
    <row r="208" spans="18:26" ht="34" customHeight="1">
      <c r="R208" s="10">
        <f>IF(A208="","",IF(COUNT(O208:Q208)&lt;3,"待补充",IF(MIN(O208:Q208)&lt;0,"检查输入",SUM(O208:Q208))))</f>
        <v/>
      </c>
      <c r="Z208" s="9">
        <f>IF(A208="","",IF(COUNTIF($A$2:$A$301,A208)&gt;1,"寄样单ID重复",IF(OR(B208="",D208="",S208=""),"待补合作/负责人/状态",IF(COUNTIF('达人线索与合作'!$B$2:$B$301,B208)&lt;&gt;1,"合作ID未唯一匹配","已关联；核对审批与签收"))))</f>
        <v/>
      </c>
    </row>
    <row r="209" spans="18:26" ht="34" customHeight="1">
      <c r="R209" s="10">
        <f>IF(A209="","",IF(COUNT(O209:Q209)&lt;3,"待补充",IF(MIN(O209:Q209)&lt;0,"检查输入",SUM(O209:Q209))))</f>
        <v/>
      </c>
      <c r="Z209" s="9">
        <f>IF(A209="","",IF(COUNTIF($A$2:$A$301,A209)&gt;1,"寄样单ID重复",IF(OR(B209="",D209="",S209=""),"待补合作/负责人/状态",IF(COUNTIF('达人线索与合作'!$B$2:$B$301,B209)&lt;&gt;1,"合作ID未唯一匹配","已关联；核对审批与签收"))))</f>
        <v/>
      </c>
    </row>
    <row r="210" spans="18:26" ht="34" customHeight="1">
      <c r="R210" s="10">
        <f>IF(A210="","",IF(COUNT(O210:Q210)&lt;3,"待补充",IF(MIN(O210:Q210)&lt;0,"检查输入",SUM(O210:Q210))))</f>
        <v/>
      </c>
      <c r="Z210" s="9">
        <f>IF(A210="","",IF(COUNTIF($A$2:$A$301,A210)&gt;1,"寄样单ID重复",IF(OR(B210="",D210="",S210=""),"待补合作/负责人/状态",IF(COUNTIF('达人线索与合作'!$B$2:$B$301,B210)&lt;&gt;1,"合作ID未唯一匹配","已关联；核对审批与签收"))))</f>
        <v/>
      </c>
    </row>
    <row r="211" spans="18:26" ht="34" customHeight="1">
      <c r="R211" s="10">
        <f>IF(A211="","",IF(COUNT(O211:Q211)&lt;3,"待补充",IF(MIN(O211:Q211)&lt;0,"检查输入",SUM(O211:Q211))))</f>
        <v/>
      </c>
      <c r="Z211" s="9">
        <f>IF(A211="","",IF(COUNTIF($A$2:$A$301,A211)&gt;1,"寄样单ID重复",IF(OR(B211="",D211="",S211=""),"待补合作/负责人/状态",IF(COUNTIF('达人线索与合作'!$B$2:$B$301,B211)&lt;&gt;1,"合作ID未唯一匹配","已关联；核对审批与签收"))))</f>
        <v/>
      </c>
    </row>
    <row r="212" spans="18:26" ht="34" customHeight="1">
      <c r="R212" s="10">
        <f>IF(A212="","",IF(COUNT(O212:Q212)&lt;3,"待补充",IF(MIN(O212:Q212)&lt;0,"检查输入",SUM(O212:Q212))))</f>
        <v/>
      </c>
      <c r="Z212" s="9">
        <f>IF(A212="","",IF(COUNTIF($A$2:$A$301,A212)&gt;1,"寄样单ID重复",IF(OR(B212="",D212="",S212=""),"待补合作/负责人/状态",IF(COUNTIF('达人线索与合作'!$B$2:$B$301,B212)&lt;&gt;1,"合作ID未唯一匹配","已关联；核对审批与签收"))))</f>
        <v/>
      </c>
    </row>
    <row r="213" spans="18:26" ht="34" customHeight="1">
      <c r="R213" s="10">
        <f>IF(A213="","",IF(COUNT(O213:Q213)&lt;3,"待补充",IF(MIN(O213:Q213)&lt;0,"检查输入",SUM(O213:Q213))))</f>
        <v/>
      </c>
      <c r="Z213" s="9">
        <f>IF(A213="","",IF(COUNTIF($A$2:$A$301,A213)&gt;1,"寄样单ID重复",IF(OR(B213="",D213="",S213=""),"待补合作/负责人/状态",IF(COUNTIF('达人线索与合作'!$B$2:$B$301,B213)&lt;&gt;1,"合作ID未唯一匹配","已关联；核对审批与签收"))))</f>
        <v/>
      </c>
    </row>
    <row r="214" spans="18:26" ht="34" customHeight="1">
      <c r="R214" s="10">
        <f>IF(A214="","",IF(COUNT(O214:Q214)&lt;3,"待补充",IF(MIN(O214:Q214)&lt;0,"检查输入",SUM(O214:Q214))))</f>
        <v/>
      </c>
      <c r="Z214" s="9">
        <f>IF(A214="","",IF(COUNTIF($A$2:$A$301,A214)&gt;1,"寄样单ID重复",IF(OR(B214="",D214="",S214=""),"待补合作/负责人/状态",IF(COUNTIF('达人线索与合作'!$B$2:$B$301,B214)&lt;&gt;1,"合作ID未唯一匹配","已关联；核对审批与签收"))))</f>
        <v/>
      </c>
    </row>
    <row r="215" spans="18:26" ht="34" customHeight="1">
      <c r="R215" s="10">
        <f>IF(A215="","",IF(COUNT(O215:Q215)&lt;3,"待补充",IF(MIN(O215:Q215)&lt;0,"检查输入",SUM(O215:Q215))))</f>
        <v/>
      </c>
      <c r="Z215" s="9">
        <f>IF(A215="","",IF(COUNTIF($A$2:$A$301,A215)&gt;1,"寄样单ID重复",IF(OR(B215="",D215="",S215=""),"待补合作/负责人/状态",IF(COUNTIF('达人线索与合作'!$B$2:$B$301,B215)&lt;&gt;1,"合作ID未唯一匹配","已关联；核对审批与签收"))))</f>
        <v/>
      </c>
    </row>
    <row r="216" spans="18:26" ht="34" customHeight="1">
      <c r="R216" s="10">
        <f>IF(A216="","",IF(COUNT(O216:Q216)&lt;3,"待补充",IF(MIN(O216:Q216)&lt;0,"检查输入",SUM(O216:Q216))))</f>
        <v/>
      </c>
      <c r="Z216" s="9">
        <f>IF(A216="","",IF(COUNTIF($A$2:$A$301,A216)&gt;1,"寄样单ID重复",IF(OR(B216="",D216="",S216=""),"待补合作/负责人/状态",IF(COUNTIF('达人线索与合作'!$B$2:$B$301,B216)&lt;&gt;1,"合作ID未唯一匹配","已关联；核对审批与签收"))))</f>
        <v/>
      </c>
    </row>
    <row r="217" spans="18:26" ht="34" customHeight="1">
      <c r="R217" s="10">
        <f>IF(A217="","",IF(COUNT(O217:Q217)&lt;3,"待补充",IF(MIN(O217:Q217)&lt;0,"检查输入",SUM(O217:Q217))))</f>
        <v/>
      </c>
      <c r="Z217" s="9">
        <f>IF(A217="","",IF(COUNTIF($A$2:$A$301,A217)&gt;1,"寄样单ID重复",IF(OR(B217="",D217="",S217=""),"待补合作/负责人/状态",IF(COUNTIF('达人线索与合作'!$B$2:$B$301,B217)&lt;&gt;1,"合作ID未唯一匹配","已关联；核对审批与签收"))))</f>
        <v/>
      </c>
    </row>
    <row r="218" spans="18:26" ht="34" customHeight="1">
      <c r="R218" s="10">
        <f>IF(A218="","",IF(COUNT(O218:Q218)&lt;3,"待补充",IF(MIN(O218:Q218)&lt;0,"检查输入",SUM(O218:Q218))))</f>
        <v/>
      </c>
      <c r="Z218" s="9">
        <f>IF(A218="","",IF(COUNTIF($A$2:$A$301,A218)&gt;1,"寄样单ID重复",IF(OR(B218="",D218="",S218=""),"待补合作/负责人/状态",IF(COUNTIF('达人线索与合作'!$B$2:$B$301,B218)&lt;&gt;1,"合作ID未唯一匹配","已关联；核对审批与签收"))))</f>
        <v/>
      </c>
    </row>
    <row r="219" spans="18:26" ht="34" customHeight="1">
      <c r="R219" s="10">
        <f>IF(A219="","",IF(COUNT(O219:Q219)&lt;3,"待补充",IF(MIN(O219:Q219)&lt;0,"检查输入",SUM(O219:Q219))))</f>
        <v/>
      </c>
      <c r="Z219" s="9">
        <f>IF(A219="","",IF(COUNTIF($A$2:$A$301,A219)&gt;1,"寄样单ID重复",IF(OR(B219="",D219="",S219=""),"待补合作/负责人/状态",IF(COUNTIF('达人线索与合作'!$B$2:$B$301,B219)&lt;&gt;1,"合作ID未唯一匹配","已关联；核对审批与签收"))))</f>
        <v/>
      </c>
    </row>
    <row r="220" spans="18:26" ht="34" customHeight="1">
      <c r="R220" s="10">
        <f>IF(A220="","",IF(COUNT(O220:Q220)&lt;3,"待补充",IF(MIN(O220:Q220)&lt;0,"检查输入",SUM(O220:Q220))))</f>
        <v/>
      </c>
      <c r="Z220" s="9">
        <f>IF(A220="","",IF(COUNTIF($A$2:$A$301,A220)&gt;1,"寄样单ID重复",IF(OR(B220="",D220="",S220=""),"待补合作/负责人/状态",IF(COUNTIF('达人线索与合作'!$B$2:$B$301,B220)&lt;&gt;1,"合作ID未唯一匹配","已关联；核对审批与签收"))))</f>
        <v/>
      </c>
    </row>
    <row r="221" spans="18:26" ht="34" customHeight="1">
      <c r="R221" s="10">
        <f>IF(A221="","",IF(COUNT(O221:Q221)&lt;3,"待补充",IF(MIN(O221:Q221)&lt;0,"检查输入",SUM(O221:Q221))))</f>
        <v/>
      </c>
      <c r="Z221" s="9">
        <f>IF(A221="","",IF(COUNTIF($A$2:$A$301,A221)&gt;1,"寄样单ID重复",IF(OR(B221="",D221="",S221=""),"待补合作/负责人/状态",IF(COUNTIF('达人线索与合作'!$B$2:$B$301,B221)&lt;&gt;1,"合作ID未唯一匹配","已关联；核对审批与签收"))))</f>
        <v/>
      </c>
    </row>
    <row r="222" spans="18:26" ht="34" customHeight="1">
      <c r="R222" s="10">
        <f>IF(A222="","",IF(COUNT(O222:Q222)&lt;3,"待补充",IF(MIN(O222:Q222)&lt;0,"检查输入",SUM(O222:Q222))))</f>
        <v/>
      </c>
      <c r="Z222" s="9">
        <f>IF(A222="","",IF(COUNTIF($A$2:$A$301,A222)&gt;1,"寄样单ID重复",IF(OR(B222="",D222="",S222=""),"待补合作/负责人/状态",IF(COUNTIF('达人线索与合作'!$B$2:$B$301,B222)&lt;&gt;1,"合作ID未唯一匹配","已关联；核对审批与签收"))))</f>
        <v/>
      </c>
    </row>
    <row r="223" spans="18:26" ht="34" customHeight="1">
      <c r="R223" s="10">
        <f>IF(A223="","",IF(COUNT(O223:Q223)&lt;3,"待补充",IF(MIN(O223:Q223)&lt;0,"检查输入",SUM(O223:Q223))))</f>
        <v/>
      </c>
      <c r="Z223" s="9">
        <f>IF(A223="","",IF(COUNTIF($A$2:$A$301,A223)&gt;1,"寄样单ID重复",IF(OR(B223="",D223="",S223=""),"待补合作/负责人/状态",IF(COUNTIF('达人线索与合作'!$B$2:$B$301,B223)&lt;&gt;1,"合作ID未唯一匹配","已关联；核对审批与签收"))))</f>
        <v/>
      </c>
    </row>
    <row r="224" spans="18:26" ht="34" customHeight="1">
      <c r="R224" s="10">
        <f>IF(A224="","",IF(COUNT(O224:Q224)&lt;3,"待补充",IF(MIN(O224:Q224)&lt;0,"检查输入",SUM(O224:Q224))))</f>
        <v/>
      </c>
      <c r="Z224" s="9">
        <f>IF(A224="","",IF(COUNTIF($A$2:$A$301,A224)&gt;1,"寄样单ID重复",IF(OR(B224="",D224="",S224=""),"待补合作/负责人/状态",IF(COUNTIF('达人线索与合作'!$B$2:$B$301,B224)&lt;&gt;1,"合作ID未唯一匹配","已关联；核对审批与签收"))))</f>
        <v/>
      </c>
    </row>
    <row r="225" spans="18:26" ht="34" customHeight="1">
      <c r="R225" s="10">
        <f>IF(A225="","",IF(COUNT(O225:Q225)&lt;3,"待补充",IF(MIN(O225:Q225)&lt;0,"检查输入",SUM(O225:Q225))))</f>
        <v/>
      </c>
      <c r="Z225" s="9">
        <f>IF(A225="","",IF(COUNTIF($A$2:$A$301,A225)&gt;1,"寄样单ID重复",IF(OR(B225="",D225="",S225=""),"待补合作/负责人/状态",IF(COUNTIF('达人线索与合作'!$B$2:$B$301,B225)&lt;&gt;1,"合作ID未唯一匹配","已关联；核对审批与签收"))))</f>
        <v/>
      </c>
    </row>
    <row r="226" spans="18:26" ht="34" customHeight="1">
      <c r="R226" s="10">
        <f>IF(A226="","",IF(COUNT(O226:Q226)&lt;3,"待补充",IF(MIN(O226:Q226)&lt;0,"检查输入",SUM(O226:Q226))))</f>
        <v/>
      </c>
      <c r="Z226" s="9">
        <f>IF(A226="","",IF(COUNTIF($A$2:$A$301,A226)&gt;1,"寄样单ID重复",IF(OR(B226="",D226="",S226=""),"待补合作/负责人/状态",IF(COUNTIF('达人线索与合作'!$B$2:$B$301,B226)&lt;&gt;1,"合作ID未唯一匹配","已关联；核对审批与签收"))))</f>
        <v/>
      </c>
    </row>
    <row r="227" spans="18:26" ht="34" customHeight="1">
      <c r="R227" s="10">
        <f>IF(A227="","",IF(COUNT(O227:Q227)&lt;3,"待补充",IF(MIN(O227:Q227)&lt;0,"检查输入",SUM(O227:Q227))))</f>
        <v/>
      </c>
      <c r="Z227" s="9">
        <f>IF(A227="","",IF(COUNTIF($A$2:$A$301,A227)&gt;1,"寄样单ID重复",IF(OR(B227="",D227="",S227=""),"待补合作/负责人/状态",IF(COUNTIF('达人线索与合作'!$B$2:$B$301,B227)&lt;&gt;1,"合作ID未唯一匹配","已关联；核对审批与签收"))))</f>
        <v/>
      </c>
    </row>
    <row r="228" spans="18:26" ht="34" customHeight="1">
      <c r="R228" s="10">
        <f>IF(A228="","",IF(COUNT(O228:Q228)&lt;3,"待补充",IF(MIN(O228:Q228)&lt;0,"检查输入",SUM(O228:Q228))))</f>
        <v/>
      </c>
      <c r="Z228" s="9">
        <f>IF(A228="","",IF(COUNTIF($A$2:$A$301,A228)&gt;1,"寄样单ID重复",IF(OR(B228="",D228="",S228=""),"待补合作/负责人/状态",IF(COUNTIF('达人线索与合作'!$B$2:$B$301,B228)&lt;&gt;1,"合作ID未唯一匹配","已关联；核对审批与签收"))))</f>
        <v/>
      </c>
    </row>
    <row r="229" spans="18:26" ht="34" customHeight="1">
      <c r="R229" s="10">
        <f>IF(A229="","",IF(COUNT(O229:Q229)&lt;3,"待补充",IF(MIN(O229:Q229)&lt;0,"检查输入",SUM(O229:Q229))))</f>
        <v/>
      </c>
      <c r="Z229" s="9">
        <f>IF(A229="","",IF(COUNTIF($A$2:$A$301,A229)&gt;1,"寄样单ID重复",IF(OR(B229="",D229="",S229=""),"待补合作/负责人/状态",IF(COUNTIF('达人线索与合作'!$B$2:$B$301,B229)&lt;&gt;1,"合作ID未唯一匹配","已关联；核对审批与签收"))))</f>
        <v/>
      </c>
    </row>
    <row r="230" spans="18:26" ht="34" customHeight="1">
      <c r="R230" s="10">
        <f>IF(A230="","",IF(COUNT(O230:Q230)&lt;3,"待补充",IF(MIN(O230:Q230)&lt;0,"检查输入",SUM(O230:Q230))))</f>
        <v/>
      </c>
      <c r="Z230" s="9">
        <f>IF(A230="","",IF(COUNTIF($A$2:$A$301,A230)&gt;1,"寄样单ID重复",IF(OR(B230="",D230="",S230=""),"待补合作/负责人/状态",IF(COUNTIF('达人线索与合作'!$B$2:$B$301,B230)&lt;&gt;1,"合作ID未唯一匹配","已关联；核对审批与签收"))))</f>
        <v/>
      </c>
    </row>
    <row r="231" spans="18:26" ht="34" customHeight="1">
      <c r="R231" s="10">
        <f>IF(A231="","",IF(COUNT(O231:Q231)&lt;3,"待补充",IF(MIN(O231:Q231)&lt;0,"检查输入",SUM(O231:Q231))))</f>
        <v/>
      </c>
      <c r="Z231" s="9">
        <f>IF(A231="","",IF(COUNTIF($A$2:$A$301,A231)&gt;1,"寄样单ID重复",IF(OR(B231="",D231="",S231=""),"待补合作/负责人/状态",IF(COUNTIF('达人线索与合作'!$B$2:$B$301,B231)&lt;&gt;1,"合作ID未唯一匹配","已关联；核对审批与签收"))))</f>
        <v/>
      </c>
    </row>
    <row r="232" spans="18:26" ht="34" customHeight="1">
      <c r="R232" s="10">
        <f>IF(A232="","",IF(COUNT(O232:Q232)&lt;3,"待补充",IF(MIN(O232:Q232)&lt;0,"检查输入",SUM(O232:Q232))))</f>
        <v/>
      </c>
      <c r="Z232" s="9">
        <f>IF(A232="","",IF(COUNTIF($A$2:$A$301,A232)&gt;1,"寄样单ID重复",IF(OR(B232="",D232="",S232=""),"待补合作/负责人/状态",IF(COUNTIF('达人线索与合作'!$B$2:$B$301,B232)&lt;&gt;1,"合作ID未唯一匹配","已关联；核对审批与签收"))))</f>
        <v/>
      </c>
    </row>
    <row r="233" spans="18:26" ht="34" customHeight="1">
      <c r="R233" s="10">
        <f>IF(A233="","",IF(COUNT(O233:Q233)&lt;3,"待补充",IF(MIN(O233:Q233)&lt;0,"检查输入",SUM(O233:Q233))))</f>
        <v/>
      </c>
      <c r="Z233" s="9">
        <f>IF(A233="","",IF(COUNTIF($A$2:$A$301,A233)&gt;1,"寄样单ID重复",IF(OR(B233="",D233="",S233=""),"待补合作/负责人/状态",IF(COUNTIF('达人线索与合作'!$B$2:$B$301,B233)&lt;&gt;1,"合作ID未唯一匹配","已关联；核对审批与签收"))))</f>
        <v/>
      </c>
    </row>
    <row r="234" spans="18:26" ht="34" customHeight="1">
      <c r="R234" s="10">
        <f>IF(A234="","",IF(COUNT(O234:Q234)&lt;3,"待补充",IF(MIN(O234:Q234)&lt;0,"检查输入",SUM(O234:Q234))))</f>
        <v/>
      </c>
      <c r="Z234" s="9">
        <f>IF(A234="","",IF(COUNTIF($A$2:$A$301,A234)&gt;1,"寄样单ID重复",IF(OR(B234="",D234="",S234=""),"待补合作/负责人/状态",IF(COUNTIF('达人线索与合作'!$B$2:$B$301,B234)&lt;&gt;1,"合作ID未唯一匹配","已关联；核对审批与签收"))))</f>
        <v/>
      </c>
    </row>
    <row r="235" spans="18:26" ht="34" customHeight="1">
      <c r="R235" s="10">
        <f>IF(A235="","",IF(COUNT(O235:Q235)&lt;3,"待补充",IF(MIN(O235:Q235)&lt;0,"检查输入",SUM(O235:Q235))))</f>
        <v/>
      </c>
      <c r="Z235" s="9">
        <f>IF(A235="","",IF(COUNTIF($A$2:$A$301,A235)&gt;1,"寄样单ID重复",IF(OR(B235="",D235="",S235=""),"待补合作/负责人/状态",IF(COUNTIF('达人线索与合作'!$B$2:$B$301,B235)&lt;&gt;1,"合作ID未唯一匹配","已关联；核对审批与签收"))))</f>
        <v/>
      </c>
    </row>
    <row r="236" spans="18:26" ht="34" customHeight="1">
      <c r="R236" s="10">
        <f>IF(A236="","",IF(COUNT(O236:Q236)&lt;3,"待补充",IF(MIN(O236:Q236)&lt;0,"检查输入",SUM(O236:Q236))))</f>
        <v/>
      </c>
      <c r="Z236" s="9">
        <f>IF(A236="","",IF(COUNTIF($A$2:$A$301,A236)&gt;1,"寄样单ID重复",IF(OR(B236="",D236="",S236=""),"待补合作/负责人/状态",IF(COUNTIF('达人线索与合作'!$B$2:$B$301,B236)&lt;&gt;1,"合作ID未唯一匹配","已关联；核对审批与签收"))))</f>
        <v/>
      </c>
    </row>
    <row r="237" spans="18:26" ht="34" customHeight="1">
      <c r="R237" s="10">
        <f>IF(A237="","",IF(COUNT(O237:Q237)&lt;3,"待补充",IF(MIN(O237:Q237)&lt;0,"检查输入",SUM(O237:Q237))))</f>
        <v/>
      </c>
      <c r="Z237" s="9">
        <f>IF(A237="","",IF(COUNTIF($A$2:$A$301,A237)&gt;1,"寄样单ID重复",IF(OR(B237="",D237="",S237=""),"待补合作/负责人/状态",IF(COUNTIF('达人线索与合作'!$B$2:$B$301,B237)&lt;&gt;1,"合作ID未唯一匹配","已关联；核对审批与签收"))))</f>
        <v/>
      </c>
    </row>
    <row r="238" spans="18:26" ht="34" customHeight="1">
      <c r="R238" s="10">
        <f>IF(A238="","",IF(COUNT(O238:Q238)&lt;3,"待补充",IF(MIN(O238:Q238)&lt;0,"检查输入",SUM(O238:Q238))))</f>
        <v/>
      </c>
      <c r="Z238" s="9">
        <f>IF(A238="","",IF(COUNTIF($A$2:$A$301,A238)&gt;1,"寄样单ID重复",IF(OR(B238="",D238="",S238=""),"待补合作/负责人/状态",IF(COUNTIF('达人线索与合作'!$B$2:$B$301,B238)&lt;&gt;1,"合作ID未唯一匹配","已关联；核对审批与签收"))))</f>
        <v/>
      </c>
    </row>
    <row r="239" spans="18:26" ht="34" customHeight="1">
      <c r="R239" s="10">
        <f>IF(A239="","",IF(COUNT(O239:Q239)&lt;3,"待补充",IF(MIN(O239:Q239)&lt;0,"检查输入",SUM(O239:Q239))))</f>
        <v/>
      </c>
      <c r="Z239" s="9">
        <f>IF(A239="","",IF(COUNTIF($A$2:$A$301,A239)&gt;1,"寄样单ID重复",IF(OR(B239="",D239="",S239=""),"待补合作/负责人/状态",IF(COUNTIF('达人线索与合作'!$B$2:$B$301,B239)&lt;&gt;1,"合作ID未唯一匹配","已关联；核对审批与签收"))))</f>
        <v/>
      </c>
    </row>
    <row r="240" spans="18:26" ht="34" customHeight="1">
      <c r="R240" s="10">
        <f>IF(A240="","",IF(COUNT(O240:Q240)&lt;3,"待补充",IF(MIN(O240:Q240)&lt;0,"检查输入",SUM(O240:Q240))))</f>
        <v/>
      </c>
      <c r="Z240" s="9">
        <f>IF(A240="","",IF(COUNTIF($A$2:$A$301,A240)&gt;1,"寄样单ID重复",IF(OR(B240="",D240="",S240=""),"待补合作/负责人/状态",IF(COUNTIF('达人线索与合作'!$B$2:$B$301,B240)&lt;&gt;1,"合作ID未唯一匹配","已关联；核对审批与签收"))))</f>
        <v/>
      </c>
    </row>
    <row r="241" spans="18:26" ht="34" customHeight="1">
      <c r="R241" s="10">
        <f>IF(A241="","",IF(COUNT(O241:Q241)&lt;3,"待补充",IF(MIN(O241:Q241)&lt;0,"检查输入",SUM(O241:Q241))))</f>
        <v/>
      </c>
      <c r="Z241" s="9">
        <f>IF(A241="","",IF(COUNTIF($A$2:$A$301,A241)&gt;1,"寄样单ID重复",IF(OR(B241="",D241="",S241=""),"待补合作/负责人/状态",IF(COUNTIF('达人线索与合作'!$B$2:$B$301,B241)&lt;&gt;1,"合作ID未唯一匹配","已关联；核对审批与签收"))))</f>
        <v/>
      </c>
    </row>
    <row r="242" spans="18:26" ht="34" customHeight="1">
      <c r="R242" s="10">
        <f>IF(A242="","",IF(COUNT(O242:Q242)&lt;3,"待补充",IF(MIN(O242:Q242)&lt;0,"检查输入",SUM(O242:Q242))))</f>
        <v/>
      </c>
      <c r="Z242" s="9">
        <f>IF(A242="","",IF(COUNTIF($A$2:$A$301,A242)&gt;1,"寄样单ID重复",IF(OR(B242="",D242="",S242=""),"待补合作/负责人/状态",IF(COUNTIF('达人线索与合作'!$B$2:$B$301,B242)&lt;&gt;1,"合作ID未唯一匹配","已关联；核对审批与签收"))))</f>
        <v/>
      </c>
    </row>
    <row r="243" spans="18:26" ht="34" customHeight="1">
      <c r="R243" s="10">
        <f>IF(A243="","",IF(COUNT(O243:Q243)&lt;3,"待补充",IF(MIN(O243:Q243)&lt;0,"检查输入",SUM(O243:Q243))))</f>
        <v/>
      </c>
      <c r="Z243" s="9">
        <f>IF(A243="","",IF(COUNTIF($A$2:$A$301,A243)&gt;1,"寄样单ID重复",IF(OR(B243="",D243="",S243=""),"待补合作/负责人/状态",IF(COUNTIF('达人线索与合作'!$B$2:$B$301,B243)&lt;&gt;1,"合作ID未唯一匹配","已关联；核对审批与签收"))))</f>
        <v/>
      </c>
    </row>
    <row r="244" spans="18:26" ht="34" customHeight="1">
      <c r="R244" s="10">
        <f>IF(A244="","",IF(COUNT(O244:Q244)&lt;3,"待补充",IF(MIN(O244:Q244)&lt;0,"检查输入",SUM(O244:Q244))))</f>
        <v/>
      </c>
      <c r="Z244" s="9">
        <f>IF(A244="","",IF(COUNTIF($A$2:$A$301,A244)&gt;1,"寄样单ID重复",IF(OR(B244="",D244="",S244=""),"待补合作/负责人/状态",IF(COUNTIF('达人线索与合作'!$B$2:$B$301,B244)&lt;&gt;1,"合作ID未唯一匹配","已关联；核对审批与签收"))))</f>
        <v/>
      </c>
    </row>
    <row r="245" spans="18:26" ht="34" customHeight="1">
      <c r="R245" s="10">
        <f>IF(A245="","",IF(COUNT(O245:Q245)&lt;3,"待补充",IF(MIN(O245:Q245)&lt;0,"检查输入",SUM(O245:Q245))))</f>
        <v/>
      </c>
      <c r="Z245" s="9">
        <f>IF(A245="","",IF(COUNTIF($A$2:$A$301,A245)&gt;1,"寄样单ID重复",IF(OR(B245="",D245="",S245=""),"待补合作/负责人/状态",IF(COUNTIF('达人线索与合作'!$B$2:$B$301,B245)&lt;&gt;1,"合作ID未唯一匹配","已关联；核对审批与签收"))))</f>
        <v/>
      </c>
    </row>
    <row r="246" spans="18:26" ht="34" customHeight="1">
      <c r="R246" s="10">
        <f>IF(A246="","",IF(COUNT(O246:Q246)&lt;3,"待补充",IF(MIN(O246:Q246)&lt;0,"检查输入",SUM(O246:Q246))))</f>
        <v/>
      </c>
      <c r="Z246" s="9">
        <f>IF(A246="","",IF(COUNTIF($A$2:$A$301,A246)&gt;1,"寄样单ID重复",IF(OR(B246="",D246="",S246=""),"待补合作/负责人/状态",IF(COUNTIF('达人线索与合作'!$B$2:$B$301,B246)&lt;&gt;1,"合作ID未唯一匹配","已关联；核对审批与签收"))))</f>
        <v/>
      </c>
    </row>
    <row r="247" spans="18:26" ht="34" customHeight="1">
      <c r="R247" s="10">
        <f>IF(A247="","",IF(COUNT(O247:Q247)&lt;3,"待补充",IF(MIN(O247:Q247)&lt;0,"检查输入",SUM(O247:Q247))))</f>
        <v/>
      </c>
      <c r="Z247" s="9">
        <f>IF(A247="","",IF(COUNTIF($A$2:$A$301,A247)&gt;1,"寄样单ID重复",IF(OR(B247="",D247="",S247=""),"待补合作/负责人/状态",IF(COUNTIF('达人线索与合作'!$B$2:$B$301,B247)&lt;&gt;1,"合作ID未唯一匹配","已关联；核对审批与签收"))))</f>
        <v/>
      </c>
    </row>
    <row r="248" spans="18:26" ht="34" customHeight="1">
      <c r="R248" s="10">
        <f>IF(A248="","",IF(COUNT(O248:Q248)&lt;3,"待补充",IF(MIN(O248:Q248)&lt;0,"检查输入",SUM(O248:Q248))))</f>
        <v/>
      </c>
      <c r="Z248" s="9">
        <f>IF(A248="","",IF(COUNTIF($A$2:$A$301,A248)&gt;1,"寄样单ID重复",IF(OR(B248="",D248="",S248=""),"待补合作/负责人/状态",IF(COUNTIF('达人线索与合作'!$B$2:$B$301,B248)&lt;&gt;1,"合作ID未唯一匹配","已关联；核对审批与签收"))))</f>
        <v/>
      </c>
    </row>
    <row r="249" spans="18:26" ht="34" customHeight="1">
      <c r="R249" s="10">
        <f>IF(A249="","",IF(COUNT(O249:Q249)&lt;3,"待补充",IF(MIN(O249:Q249)&lt;0,"检查输入",SUM(O249:Q249))))</f>
        <v/>
      </c>
      <c r="Z249" s="9">
        <f>IF(A249="","",IF(COUNTIF($A$2:$A$301,A249)&gt;1,"寄样单ID重复",IF(OR(B249="",D249="",S249=""),"待补合作/负责人/状态",IF(COUNTIF('达人线索与合作'!$B$2:$B$301,B249)&lt;&gt;1,"合作ID未唯一匹配","已关联；核对审批与签收"))))</f>
        <v/>
      </c>
    </row>
    <row r="250" spans="18:26" ht="34" customHeight="1">
      <c r="R250" s="10">
        <f>IF(A250="","",IF(COUNT(O250:Q250)&lt;3,"待补充",IF(MIN(O250:Q250)&lt;0,"检查输入",SUM(O250:Q250))))</f>
        <v/>
      </c>
      <c r="Z250" s="9">
        <f>IF(A250="","",IF(COUNTIF($A$2:$A$301,A250)&gt;1,"寄样单ID重复",IF(OR(B250="",D250="",S250=""),"待补合作/负责人/状态",IF(COUNTIF('达人线索与合作'!$B$2:$B$301,B250)&lt;&gt;1,"合作ID未唯一匹配","已关联；核对审批与签收"))))</f>
        <v/>
      </c>
    </row>
    <row r="251" spans="18:26" ht="34" customHeight="1">
      <c r="R251" s="10">
        <f>IF(A251="","",IF(COUNT(O251:Q251)&lt;3,"待补充",IF(MIN(O251:Q251)&lt;0,"检查输入",SUM(O251:Q251))))</f>
        <v/>
      </c>
      <c r="Z251" s="9">
        <f>IF(A251="","",IF(COUNTIF($A$2:$A$301,A251)&gt;1,"寄样单ID重复",IF(OR(B251="",D251="",S251=""),"待补合作/负责人/状态",IF(COUNTIF('达人线索与合作'!$B$2:$B$301,B251)&lt;&gt;1,"合作ID未唯一匹配","已关联；核对审批与签收"))))</f>
        <v/>
      </c>
    </row>
    <row r="252" spans="18:26" ht="34" customHeight="1">
      <c r="R252" s="10">
        <f>IF(A252="","",IF(COUNT(O252:Q252)&lt;3,"待补充",IF(MIN(O252:Q252)&lt;0,"检查输入",SUM(O252:Q252))))</f>
        <v/>
      </c>
      <c r="Z252" s="9">
        <f>IF(A252="","",IF(COUNTIF($A$2:$A$301,A252)&gt;1,"寄样单ID重复",IF(OR(B252="",D252="",S252=""),"待补合作/负责人/状态",IF(COUNTIF('达人线索与合作'!$B$2:$B$301,B252)&lt;&gt;1,"合作ID未唯一匹配","已关联；核对审批与签收"))))</f>
        <v/>
      </c>
    </row>
    <row r="253" spans="18:26" ht="34" customHeight="1">
      <c r="R253" s="10">
        <f>IF(A253="","",IF(COUNT(O253:Q253)&lt;3,"待补充",IF(MIN(O253:Q253)&lt;0,"检查输入",SUM(O253:Q253))))</f>
        <v/>
      </c>
      <c r="Z253" s="9">
        <f>IF(A253="","",IF(COUNTIF($A$2:$A$301,A253)&gt;1,"寄样单ID重复",IF(OR(B253="",D253="",S253=""),"待补合作/负责人/状态",IF(COUNTIF('达人线索与合作'!$B$2:$B$301,B253)&lt;&gt;1,"合作ID未唯一匹配","已关联；核对审批与签收"))))</f>
        <v/>
      </c>
    </row>
    <row r="254" spans="18:26" ht="34" customHeight="1">
      <c r="R254" s="10">
        <f>IF(A254="","",IF(COUNT(O254:Q254)&lt;3,"待补充",IF(MIN(O254:Q254)&lt;0,"检查输入",SUM(O254:Q254))))</f>
        <v/>
      </c>
      <c r="Z254" s="9">
        <f>IF(A254="","",IF(COUNTIF($A$2:$A$301,A254)&gt;1,"寄样单ID重复",IF(OR(B254="",D254="",S254=""),"待补合作/负责人/状态",IF(COUNTIF('达人线索与合作'!$B$2:$B$301,B254)&lt;&gt;1,"合作ID未唯一匹配","已关联；核对审批与签收"))))</f>
        <v/>
      </c>
    </row>
    <row r="255" spans="18:26" ht="34" customHeight="1">
      <c r="R255" s="10">
        <f>IF(A255="","",IF(COUNT(O255:Q255)&lt;3,"待补充",IF(MIN(O255:Q255)&lt;0,"检查输入",SUM(O255:Q255))))</f>
        <v/>
      </c>
      <c r="Z255" s="9">
        <f>IF(A255="","",IF(COUNTIF($A$2:$A$301,A255)&gt;1,"寄样单ID重复",IF(OR(B255="",D255="",S255=""),"待补合作/负责人/状态",IF(COUNTIF('达人线索与合作'!$B$2:$B$301,B255)&lt;&gt;1,"合作ID未唯一匹配","已关联；核对审批与签收"))))</f>
        <v/>
      </c>
    </row>
    <row r="256" spans="18:26" ht="34" customHeight="1">
      <c r="R256" s="10">
        <f>IF(A256="","",IF(COUNT(O256:Q256)&lt;3,"待补充",IF(MIN(O256:Q256)&lt;0,"检查输入",SUM(O256:Q256))))</f>
        <v/>
      </c>
      <c r="Z256" s="9">
        <f>IF(A256="","",IF(COUNTIF($A$2:$A$301,A256)&gt;1,"寄样单ID重复",IF(OR(B256="",D256="",S256=""),"待补合作/负责人/状态",IF(COUNTIF('达人线索与合作'!$B$2:$B$301,B256)&lt;&gt;1,"合作ID未唯一匹配","已关联；核对审批与签收"))))</f>
        <v/>
      </c>
    </row>
    <row r="257" spans="18:26" ht="34" customHeight="1">
      <c r="R257" s="10">
        <f>IF(A257="","",IF(COUNT(O257:Q257)&lt;3,"待补充",IF(MIN(O257:Q257)&lt;0,"检查输入",SUM(O257:Q257))))</f>
        <v/>
      </c>
      <c r="Z257" s="9">
        <f>IF(A257="","",IF(COUNTIF($A$2:$A$301,A257)&gt;1,"寄样单ID重复",IF(OR(B257="",D257="",S257=""),"待补合作/负责人/状态",IF(COUNTIF('达人线索与合作'!$B$2:$B$301,B257)&lt;&gt;1,"合作ID未唯一匹配","已关联；核对审批与签收"))))</f>
        <v/>
      </c>
    </row>
    <row r="258" spans="18:26" ht="34" customHeight="1">
      <c r="R258" s="10">
        <f>IF(A258="","",IF(COUNT(O258:Q258)&lt;3,"待补充",IF(MIN(O258:Q258)&lt;0,"检查输入",SUM(O258:Q258))))</f>
        <v/>
      </c>
      <c r="Z258" s="9">
        <f>IF(A258="","",IF(COUNTIF($A$2:$A$301,A258)&gt;1,"寄样单ID重复",IF(OR(B258="",D258="",S258=""),"待补合作/负责人/状态",IF(COUNTIF('达人线索与合作'!$B$2:$B$301,B258)&lt;&gt;1,"合作ID未唯一匹配","已关联；核对审批与签收"))))</f>
        <v/>
      </c>
    </row>
    <row r="259" spans="18:26" ht="34" customHeight="1">
      <c r="R259" s="10">
        <f>IF(A259="","",IF(COUNT(O259:Q259)&lt;3,"待补充",IF(MIN(O259:Q259)&lt;0,"检查输入",SUM(O259:Q259))))</f>
        <v/>
      </c>
      <c r="Z259" s="9">
        <f>IF(A259="","",IF(COUNTIF($A$2:$A$301,A259)&gt;1,"寄样单ID重复",IF(OR(B259="",D259="",S259=""),"待补合作/负责人/状态",IF(COUNTIF('达人线索与合作'!$B$2:$B$301,B259)&lt;&gt;1,"合作ID未唯一匹配","已关联；核对审批与签收"))))</f>
        <v/>
      </c>
    </row>
    <row r="260" spans="18:26" ht="34" customHeight="1">
      <c r="R260" s="10">
        <f>IF(A260="","",IF(COUNT(O260:Q260)&lt;3,"待补充",IF(MIN(O260:Q260)&lt;0,"检查输入",SUM(O260:Q260))))</f>
        <v/>
      </c>
      <c r="Z260" s="9">
        <f>IF(A260="","",IF(COUNTIF($A$2:$A$301,A260)&gt;1,"寄样单ID重复",IF(OR(B260="",D260="",S260=""),"待补合作/负责人/状态",IF(COUNTIF('达人线索与合作'!$B$2:$B$301,B260)&lt;&gt;1,"合作ID未唯一匹配","已关联；核对审批与签收"))))</f>
        <v/>
      </c>
    </row>
    <row r="261" spans="18:26" ht="34" customHeight="1">
      <c r="R261" s="10">
        <f>IF(A261="","",IF(COUNT(O261:Q261)&lt;3,"待补充",IF(MIN(O261:Q261)&lt;0,"检查输入",SUM(O261:Q261))))</f>
        <v/>
      </c>
      <c r="Z261" s="9">
        <f>IF(A261="","",IF(COUNTIF($A$2:$A$301,A261)&gt;1,"寄样单ID重复",IF(OR(B261="",D261="",S261=""),"待补合作/负责人/状态",IF(COUNTIF('达人线索与合作'!$B$2:$B$301,B261)&lt;&gt;1,"合作ID未唯一匹配","已关联；核对审批与签收"))))</f>
        <v/>
      </c>
    </row>
    <row r="262" spans="18:26" ht="34" customHeight="1">
      <c r="R262" s="10">
        <f>IF(A262="","",IF(COUNT(O262:Q262)&lt;3,"待补充",IF(MIN(O262:Q262)&lt;0,"检查输入",SUM(O262:Q262))))</f>
        <v/>
      </c>
      <c r="Z262" s="9">
        <f>IF(A262="","",IF(COUNTIF($A$2:$A$301,A262)&gt;1,"寄样单ID重复",IF(OR(B262="",D262="",S262=""),"待补合作/负责人/状态",IF(COUNTIF('达人线索与合作'!$B$2:$B$301,B262)&lt;&gt;1,"合作ID未唯一匹配","已关联；核对审批与签收"))))</f>
        <v/>
      </c>
    </row>
    <row r="263" spans="18:26" ht="34" customHeight="1">
      <c r="R263" s="10">
        <f>IF(A263="","",IF(COUNT(O263:Q263)&lt;3,"待补充",IF(MIN(O263:Q263)&lt;0,"检查输入",SUM(O263:Q263))))</f>
        <v/>
      </c>
      <c r="Z263" s="9">
        <f>IF(A263="","",IF(COUNTIF($A$2:$A$301,A263)&gt;1,"寄样单ID重复",IF(OR(B263="",D263="",S263=""),"待补合作/负责人/状态",IF(COUNTIF('达人线索与合作'!$B$2:$B$301,B263)&lt;&gt;1,"合作ID未唯一匹配","已关联；核对审批与签收"))))</f>
        <v/>
      </c>
    </row>
    <row r="264" spans="18:26" ht="34" customHeight="1">
      <c r="R264" s="10">
        <f>IF(A264="","",IF(COUNT(O264:Q264)&lt;3,"待补充",IF(MIN(O264:Q264)&lt;0,"检查输入",SUM(O264:Q264))))</f>
        <v/>
      </c>
      <c r="Z264" s="9">
        <f>IF(A264="","",IF(COUNTIF($A$2:$A$301,A264)&gt;1,"寄样单ID重复",IF(OR(B264="",D264="",S264=""),"待补合作/负责人/状态",IF(COUNTIF('达人线索与合作'!$B$2:$B$301,B264)&lt;&gt;1,"合作ID未唯一匹配","已关联；核对审批与签收"))))</f>
        <v/>
      </c>
    </row>
    <row r="265" spans="18:26" ht="34" customHeight="1">
      <c r="R265" s="10">
        <f>IF(A265="","",IF(COUNT(O265:Q265)&lt;3,"待补充",IF(MIN(O265:Q265)&lt;0,"检查输入",SUM(O265:Q265))))</f>
        <v/>
      </c>
      <c r="Z265" s="9">
        <f>IF(A265="","",IF(COUNTIF($A$2:$A$301,A265)&gt;1,"寄样单ID重复",IF(OR(B265="",D265="",S265=""),"待补合作/负责人/状态",IF(COUNTIF('达人线索与合作'!$B$2:$B$301,B265)&lt;&gt;1,"合作ID未唯一匹配","已关联；核对审批与签收"))))</f>
        <v/>
      </c>
    </row>
    <row r="266" spans="18:26" ht="34" customHeight="1">
      <c r="R266" s="10">
        <f>IF(A266="","",IF(COUNT(O266:Q266)&lt;3,"待补充",IF(MIN(O266:Q266)&lt;0,"检查输入",SUM(O266:Q266))))</f>
        <v/>
      </c>
      <c r="Z266" s="9">
        <f>IF(A266="","",IF(COUNTIF($A$2:$A$301,A266)&gt;1,"寄样单ID重复",IF(OR(B266="",D266="",S266=""),"待补合作/负责人/状态",IF(COUNTIF('达人线索与合作'!$B$2:$B$301,B266)&lt;&gt;1,"合作ID未唯一匹配","已关联；核对审批与签收"))))</f>
        <v/>
      </c>
    </row>
    <row r="267" spans="18:26" ht="34" customHeight="1">
      <c r="R267" s="10">
        <f>IF(A267="","",IF(COUNT(O267:Q267)&lt;3,"待补充",IF(MIN(O267:Q267)&lt;0,"检查输入",SUM(O267:Q267))))</f>
        <v/>
      </c>
      <c r="Z267" s="9">
        <f>IF(A267="","",IF(COUNTIF($A$2:$A$301,A267)&gt;1,"寄样单ID重复",IF(OR(B267="",D267="",S267=""),"待补合作/负责人/状态",IF(COUNTIF('达人线索与合作'!$B$2:$B$301,B267)&lt;&gt;1,"合作ID未唯一匹配","已关联；核对审批与签收"))))</f>
        <v/>
      </c>
    </row>
    <row r="268" spans="18:26" ht="34" customHeight="1">
      <c r="R268" s="10">
        <f>IF(A268="","",IF(COUNT(O268:Q268)&lt;3,"待补充",IF(MIN(O268:Q268)&lt;0,"检查输入",SUM(O268:Q268))))</f>
        <v/>
      </c>
      <c r="Z268" s="9">
        <f>IF(A268="","",IF(COUNTIF($A$2:$A$301,A268)&gt;1,"寄样单ID重复",IF(OR(B268="",D268="",S268=""),"待补合作/负责人/状态",IF(COUNTIF('达人线索与合作'!$B$2:$B$301,B268)&lt;&gt;1,"合作ID未唯一匹配","已关联；核对审批与签收"))))</f>
        <v/>
      </c>
    </row>
    <row r="269" spans="18:26" ht="34" customHeight="1">
      <c r="R269" s="10">
        <f>IF(A269="","",IF(COUNT(O269:Q269)&lt;3,"待补充",IF(MIN(O269:Q269)&lt;0,"检查输入",SUM(O269:Q269))))</f>
        <v/>
      </c>
      <c r="Z269" s="9">
        <f>IF(A269="","",IF(COUNTIF($A$2:$A$301,A269)&gt;1,"寄样单ID重复",IF(OR(B269="",D269="",S269=""),"待补合作/负责人/状态",IF(COUNTIF('达人线索与合作'!$B$2:$B$301,B269)&lt;&gt;1,"合作ID未唯一匹配","已关联；核对审批与签收"))))</f>
        <v/>
      </c>
    </row>
    <row r="270" spans="18:26" ht="34" customHeight="1">
      <c r="R270" s="10">
        <f>IF(A270="","",IF(COUNT(O270:Q270)&lt;3,"待补充",IF(MIN(O270:Q270)&lt;0,"检查输入",SUM(O270:Q270))))</f>
        <v/>
      </c>
      <c r="Z270" s="9">
        <f>IF(A270="","",IF(COUNTIF($A$2:$A$301,A270)&gt;1,"寄样单ID重复",IF(OR(B270="",D270="",S270=""),"待补合作/负责人/状态",IF(COUNTIF('达人线索与合作'!$B$2:$B$301,B270)&lt;&gt;1,"合作ID未唯一匹配","已关联；核对审批与签收"))))</f>
        <v/>
      </c>
    </row>
    <row r="271" spans="18:26" ht="34" customHeight="1">
      <c r="R271" s="10">
        <f>IF(A271="","",IF(COUNT(O271:Q271)&lt;3,"待补充",IF(MIN(O271:Q271)&lt;0,"检查输入",SUM(O271:Q271))))</f>
        <v/>
      </c>
      <c r="Z271" s="9">
        <f>IF(A271="","",IF(COUNTIF($A$2:$A$301,A271)&gt;1,"寄样单ID重复",IF(OR(B271="",D271="",S271=""),"待补合作/负责人/状态",IF(COUNTIF('达人线索与合作'!$B$2:$B$301,B271)&lt;&gt;1,"合作ID未唯一匹配","已关联；核对审批与签收"))))</f>
        <v/>
      </c>
    </row>
    <row r="272" spans="18:26" ht="34" customHeight="1">
      <c r="R272" s="10">
        <f>IF(A272="","",IF(COUNT(O272:Q272)&lt;3,"待补充",IF(MIN(O272:Q272)&lt;0,"检查输入",SUM(O272:Q272))))</f>
        <v/>
      </c>
      <c r="Z272" s="9">
        <f>IF(A272="","",IF(COUNTIF($A$2:$A$301,A272)&gt;1,"寄样单ID重复",IF(OR(B272="",D272="",S272=""),"待补合作/负责人/状态",IF(COUNTIF('达人线索与合作'!$B$2:$B$301,B272)&lt;&gt;1,"合作ID未唯一匹配","已关联；核对审批与签收"))))</f>
        <v/>
      </c>
    </row>
    <row r="273" spans="18:26" ht="34" customHeight="1">
      <c r="R273" s="10">
        <f>IF(A273="","",IF(COUNT(O273:Q273)&lt;3,"待补充",IF(MIN(O273:Q273)&lt;0,"检查输入",SUM(O273:Q273))))</f>
        <v/>
      </c>
      <c r="Z273" s="9">
        <f>IF(A273="","",IF(COUNTIF($A$2:$A$301,A273)&gt;1,"寄样单ID重复",IF(OR(B273="",D273="",S273=""),"待补合作/负责人/状态",IF(COUNTIF('达人线索与合作'!$B$2:$B$301,B273)&lt;&gt;1,"合作ID未唯一匹配","已关联；核对审批与签收"))))</f>
        <v/>
      </c>
    </row>
    <row r="274" spans="18:26" ht="34" customHeight="1">
      <c r="R274" s="10">
        <f>IF(A274="","",IF(COUNT(O274:Q274)&lt;3,"待补充",IF(MIN(O274:Q274)&lt;0,"检查输入",SUM(O274:Q274))))</f>
        <v/>
      </c>
      <c r="Z274" s="9">
        <f>IF(A274="","",IF(COUNTIF($A$2:$A$301,A274)&gt;1,"寄样单ID重复",IF(OR(B274="",D274="",S274=""),"待补合作/负责人/状态",IF(COUNTIF('达人线索与合作'!$B$2:$B$301,B274)&lt;&gt;1,"合作ID未唯一匹配","已关联；核对审批与签收"))))</f>
        <v/>
      </c>
    </row>
    <row r="275" spans="18:26" ht="34" customHeight="1">
      <c r="R275" s="10">
        <f>IF(A275="","",IF(COUNT(O275:Q275)&lt;3,"待补充",IF(MIN(O275:Q275)&lt;0,"检查输入",SUM(O275:Q275))))</f>
        <v/>
      </c>
      <c r="Z275" s="9">
        <f>IF(A275="","",IF(COUNTIF($A$2:$A$301,A275)&gt;1,"寄样单ID重复",IF(OR(B275="",D275="",S275=""),"待补合作/负责人/状态",IF(COUNTIF('达人线索与合作'!$B$2:$B$301,B275)&lt;&gt;1,"合作ID未唯一匹配","已关联；核对审批与签收"))))</f>
        <v/>
      </c>
    </row>
    <row r="276" spans="18:26" ht="34" customHeight="1">
      <c r="R276" s="10">
        <f>IF(A276="","",IF(COUNT(O276:Q276)&lt;3,"待补充",IF(MIN(O276:Q276)&lt;0,"检查输入",SUM(O276:Q276))))</f>
        <v/>
      </c>
      <c r="Z276" s="9">
        <f>IF(A276="","",IF(COUNTIF($A$2:$A$301,A276)&gt;1,"寄样单ID重复",IF(OR(B276="",D276="",S276=""),"待补合作/负责人/状态",IF(COUNTIF('达人线索与合作'!$B$2:$B$301,B276)&lt;&gt;1,"合作ID未唯一匹配","已关联；核对审批与签收"))))</f>
        <v/>
      </c>
    </row>
    <row r="277" spans="18:26" ht="34" customHeight="1">
      <c r="R277" s="10">
        <f>IF(A277="","",IF(COUNT(O277:Q277)&lt;3,"待补充",IF(MIN(O277:Q277)&lt;0,"检查输入",SUM(O277:Q277))))</f>
        <v/>
      </c>
      <c r="Z277" s="9">
        <f>IF(A277="","",IF(COUNTIF($A$2:$A$301,A277)&gt;1,"寄样单ID重复",IF(OR(B277="",D277="",S277=""),"待补合作/负责人/状态",IF(COUNTIF('达人线索与合作'!$B$2:$B$301,B277)&lt;&gt;1,"合作ID未唯一匹配","已关联；核对审批与签收"))))</f>
        <v/>
      </c>
    </row>
    <row r="278" spans="18:26" ht="34" customHeight="1">
      <c r="R278" s="10">
        <f>IF(A278="","",IF(COUNT(O278:Q278)&lt;3,"待补充",IF(MIN(O278:Q278)&lt;0,"检查输入",SUM(O278:Q278))))</f>
        <v/>
      </c>
      <c r="Z278" s="9">
        <f>IF(A278="","",IF(COUNTIF($A$2:$A$301,A278)&gt;1,"寄样单ID重复",IF(OR(B278="",D278="",S278=""),"待补合作/负责人/状态",IF(COUNTIF('达人线索与合作'!$B$2:$B$301,B278)&lt;&gt;1,"合作ID未唯一匹配","已关联；核对审批与签收"))))</f>
        <v/>
      </c>
    </row>
    <row r="279" spans="18:26" ht="34" customHeight="1">
      <c r="R279" s="10">
        <f>IF(A279="","",IF(COUNT(O279:Q279)&lt;3,"待补充",IF(MIN(O279:Q279)&lt;0,"检查输入",SUM(O279:Q279))))</f>
        <v/>
      </c>
      <c r="Z279" s="9">
        <f>IF(A279="","",IF(COUNTIF($A$2:$A$301,A279)&gt;1,"寄样单ID重复",IF(OR(B279="",D279="",S279=""),"待补合作/负责人/状态",IF(COUNTIF('达人线索与合作'!$B$2:$B$301,B279)&lt;&gt;1,"合作ID未唯一匹配","已关联；核对审批与签收"))))</f>
        <v/>
      </c>
    </row>
    <row r="280" spans="18:26" ht="34" customHeight="1">
      <c r="R280" s="10">
        <f>IF(A280="","",IF(COUNT(O280:Q280)&lt;3,"待补充",IF(MIN(O280:Q280)&lt;0,"检查输入",SUM(O280:Q280))))</f>
        <v/>
      </c>
      <c r="Z280" s="9">
        <f>IF(A280="","",IF(COUNTIF($A$2:$A$301,A280)&gt;1,"寄样单ID重复",IF(OR(B280="",D280="",S280=""),"待补合作/负责人/状态",IF(COUNTIF('达人线索与合作'!$B$2:$B$301,B280)&lt;&gt;1,"合作ID未唯一匹配","已关联；核对审批与签收"))))</f>
        <v/>
      </c>
    </row>
    <row r="281" spans="18:26" ht="34" customHeight="1">
      <c r="R281" s="10">
        <f>IF(A281="","",IF(COUNT(O281:Q281)&lt;3,"待补充",IF(MIN(O281:Q281)&lt;0,"检查输入",SUM(O281:Q281))))</f>
        <v/>
      </c>
      <c r="Z281" s="9">
        <f>IF(A281="","",IF(COUNTIF($A$2:$A$301,A281)&gt;1,"寄样单ID重复",IF(OR(B281="",D281="",S281=""),"待补合作/负责人/状态",IF(COUNTIF('达人线索与合作'!$B$2:$B$301,B281)&lt;&gt;1,"合作ID未唯一匹配","已关联；核对审批与签收"))))</f>
        <v/>
      </c>
    </row>
    <row r="282" spans="18:26" ht="34" customHeight="1">
      <c r="R282" s="10">
        <f>IF(A282="","",IF(COUNT(O282:Q282)&lt;3,"待补充",IF(MIN(O282:Q282)&lt;0,"检查输入",SUM(O282:Q282))))</f>
        <v/>
      </c>
      <c r="Z282" s="9">
        <f>IF(A282="","",IF(COUNTIF($A$2:$A$301,A282)&gt;1,"寄样单ID重复",IF(OR(B282="",D282="",S282=""),"待补合作/负责人/状态",IF(COUNTIF('达人线索与合作'!$B$2:$B$301,B282)&lt;&gt;1,"合作ID未唯一匹配","已关联；核对审批与签收"))))</f>
        <v/>
      </c>
    </row>
    <row r="283" spans="18:26" ht="34" customHeight="1">
      <c r="R283" s="10">
        <f>IF(A283="","",IF(COUNT(O283:Q283)&lt;3,"待补充",IF(MIN(O283:Q283)&lt;0,"检查输入",SUM(O283:Q283))))</f>
        <v/>
      </c>
      <c r="Z283" s="9">
        <f>IF(A283="","",IF(COUNTIF($A$2:$A$301,A283)&gt;1,"寄样单ID重复",IF(OR(B283="",D283="",S283=""),"待补合作/负责人/状态",IF(COUNTIF('达人线索与合作'!$B$2:$B$301,B283)&lt;&gt;1,"合作ID未唯一匹配","已关联；核对审批与签收"))))</f>
        <v/>
      </c>
    </row>
    <row r="284" spans="18:26" ht="34" customHeight="1">
      <c r="R284" s="10">
        <f>IF(A284="","",IF(COUNT(O284:Q284)&lt;3,"待补充",IF(MIN(O284:Q284)&lt;0,"检查输入",SUM(O284:Q284))))</f>
        <v/>
      </c>
      <c r="Z284" s="9">
        <f>IF(A284="","",IF(COUNTIF($A$2:$A$301,A284)&gt;1,"寄样单ID重复",IF(OR(B284="",D284="",S284=""),"待补合作/负责人/状态",IF(COUNTIF('达人线索与合作'!$B$2:$B$301,B284)&lt;&gt;1,"合作ID未唯一匹配","已关联；核对审批与签收"))))</f>
        <v/>
      </c>
    </row>
    <row r="285" spans="18:26" ht="34" customHeight="1">
      <c r="R285" s="10">
        <f>IF(A285="","",IF(COUNT(O285:Q285)&lt;3,"待补充",IF(MIN(O285:Q285)&lt;0,"检查输入",SUM(O285:Q285))))</f>
        <v/>
      </c>
      <c r="Z285" s="9">
        <f>IF(A285="","",IF(COUNTIF($A$2:$A$301,A285)&gt;1,"寄样单ID重复",IF(OR(B285="",D285="",S285=""),"待补合作/负责人/状态",IF(COUNTIF('达人线索与合作'!$B$2:$B$301,B285)&lt;&gt;1,"合作ID未唯一匹配","已关联；核对审批与签收"))))</f>
        <v/>
      </c>
    </row>
    <row r="286" spans="18:26" ht="34" customHeight="1">
      <c r="R286" s="10">
        <f>IF(A286="","",IF(COUNT(O286:Q286)&lt;3,"待补充",IF(MIN(O286:Q286)&lt;0,"检查输入",SUM(O286:Q286))))</f>
        <v/>
      </c>
      <c r="Z286" s="9">
        <f>IF(A286="","",IF(COUNTIF($A$2:$A$301,A286)&gt;1,"寄样单ID重复",IF(OR(B286="",D286="",S286=""),"待补合作/负责人/状态",IF(COUNTIF('达人线索与合作'!$B$2:$B$301,B286)&lt;&gt;1,"合作ID未唯一匹配","已关联；核对审批与签收"))))</f>
        <v/>
      </c>
    </row>
    <row r="287" spans="18:26" ht="34" customHeight="1">
      <c r="R287" s="10">
        <f>IF(A287="","",IF(COUNT(O287:Q287)&lt;3,"待补充",IF(MIN(O287:Q287)&lt;0,"检查输入",SUM(O287:Q287))))</f>
        <v/>
      </c>
      <c r="Z287" s="9">
        <f>IF(A287="","",IF(COUNTIF($A$2:$A$301,A287)&gt;1,"寄样单ID重复",IF(OR(B287="",D287="",S287=""),"待补合作/负责人/状态",IF(COUNTIF('达人线索与合作'!$B$2:$B$301,B287)&lt;&gt;1,"合作ID未唯一匹配","已关联；核对审批与签收"))))</f>
        <v/>
      </c>
    </row>
    <row r="288" spans="18:26" ht="34" customHeight="1">
      <c r="R288" s="10">
        <f>IF(A288="","",IF(COUNT(O288:Q288)&lt;3,"待补充",IF(MIN(O288:Q288)&lt;0,"检查输入",SUM(O288:Q288))))</f>
        <v/>
      </c>
      <c r="Z288" s="9">
        <f>IF(A288="","",IF(COUNTIF($A$2:$A$301,A288)&gt;1,"寄样单ID重复",IF(OR(B288="",D288="",S288=""),"待补合作/负责人/状态",IF(COUNTIF('达人线索与合作'!$B$2:$B$301,B288)&lt;&gt;1,"合作ID未唯一匹配","已关联；核对审批与签收"))))</f>
        <v/>
      </c>
    </row>
    <row r="289" spans="18:26" ht="34" customHeight="1">
      <c r="R289" s="10">
        <f>IF(A289="","",IF(COUNT(O289:Q289)&lt;3,"待补充",IF(MIN(O289:Q289)&lt;0,"检查输入",SUM(O289:Q289))))</f>
        <v/>
      </c>
      <c r="Z289" s="9">
        <f>IF(A289="","",IF(COUNTIF($A$2:$A$301,A289)&gt;1,"寄样单ID重复",IF(OR(B289="",D289="",S289=""),"待补合作/负责人/状态",IF(COUNTIF('达人线索与合作'!$B$2:$B$301,B289)&lt;&gt;1,"合作ID未唯一匹配","已关联；核对审批与签收"))))</f>
        <v/>
      </c>
    </row>
    <row r="290" spans="18:26" ht="34" customHeight="1">
      <c r="R290" s="10">
        <f>IF(A290="","",IF(COUNT(O290:Q290)&lt;3,"待补充",IF(MIN(O290:Q290)&lt;0,"检查输入",SUM(O290:Q290))))</f>
        <v/>
      </c>
      <c r="Z290" s="9">
        <f>IF(A290="","",IF(COUNTIF($A$2:$A$301,A290)&gt;1,"寄样单ID重复",IF(OR(B290="",D290="",S290=""),"待补合作/负责人/状态",IF(COUNTIF('达人线索与合作'!$B$2:$B$301,B290)&lt;&gt;1,"合作ID未唯一匹配","已关联；核对审批与签收"))))</f>
        <v/>
      </c>
    </row>
    <row r="291" spans="18:26" ht="34" customHeight="1">
      <c r="R291" s="10">
        <f>IF(A291="","",IF(COUNT(O291:Q291)&lt;3,"待补充",IF(MIN(O291:Q291)&lt;0,"检查输入",SUM(O291:Q291))))</f>
        <v/>
      </c>
      <c r="Z291" s="9">
        <f>IF(A291="","",IF(COUNTIF($A$2:$A$301,A291)&gt;1,"寄样单ID重复",IF(OR(B291="",D291="",S291=""),"待补合作/负责人/状态",IF(COUNTIF('达人线索与合作'!$B$2:$B$301,B291)&lt;&gt;1,"合作ID未唯一匹配","已关联；核对审批与签收"))))</f>
        <v/>
      </c>
    </row>
    <row r="292" spans="18:26" ht="34" customHeight="1">
      <c r="R292" s="10">
        <f>IF(A292="","",IF(COUNT(O292:Q292)&lt;3,"待补充",IF(MIN(O292:Q292)&lt;0,"检查输入",SUM(O292:Q292))))</f>
        <v/>
      </c>
      <c r="Z292" s="9">
        <f>IF(A292="","",IF(COUNTIF($A$2:$A$301,A292)&gt;1,"寄样单ID重复",IF(OR(B292="",D292="",S292=""),"待补合作/负责人/状态",IF(COUNTIF('达人线索与合作'!$B$2:$B$301,B292)&lt;&gt;1,"合作ID未唯一匹配","已关联；核对审批与签收"))))</f>
        <v/>
      </c>
    </row>
    <row r="293" spans="18:26" ht="34" customHeight="1">
      <c r="R293" s="10">
        <f>IF(A293="","",IF(COUNT(O293:Q293)&lt;3,"待补充",IF(MIN(O293:Q293)&lt;0,"检查输入",SUM(O293:Q293))))</f>
        <v/>
      </c>
      <c r="Z293" s="9">
        <f>IF(A293="","",IF(COUNTIF($A$2:$A$301,A293)&gt;1,"寄样单ID重复",IF(OR(B293="",D293="",S293=""),"待补合作/负责人/状态",IF(COUNTIF('达人线索与合作'!$B$2:$B$301,B293)&lt;&gt;1,"合作ID未唯一匹配","已关联；核对审批与签收"))))</f>
        <v/>
      </c>
    </row>
    <row r="294" spans="18:26" ht="34" customHeight="1">
      <c r="R294" s="10">
        <f>IF(A294="","",IF(COUNT(O294:Q294)&lt;3,"待补充",IF(MIN(O294:Q294)&lt;0,"检查输入",SUM(O294:Q294))))</f>
        <v/>
      </c>
      <c r="Z294" s="9">
        <f>IF(A294="","",IF(COUNTIF($A$2:$A$301,A294)&gt;1,"寄样单ID重复",IF(OR(B294="",D294="",S294=""),"待补合作/负责人/状态",IF(COUNTIF('达人线索与合作'!$B$2:$B$301,B294)&lt;&gt;1,"合作ID未唯一匹配","已关联；核对审批与签收"))))</f>
        <v/>
      </c>
    </row>
    <row r="295" spans="18:26" ht="34" customHeight="1">
      <c r="R295" s="10">
        <f>IF(A295="","",IF(COUNT(O295:Q295)&lt;3,"待补充",IF(MIN(O295:Q295)&lt;0,"检查输入",SUM(O295:Q295))))</f>
        <v/>
      </c>
      <c r="Z295" s="9">
        <f>IF(A295="","",IF(COUNTIF($A$2:$A$301,A295)&gt;1,"寄样单ID重复",IF(OR(B295="",D295="",S295=""),"待补合作/负责人/状态",IF(COUNTIF('达人线索与合作'!$B$2:$B$301,B295)&lt;&gt;1,"合作ID未唯一匹配","已关联；核对审批与签收"))))</f>
        <v/>
      </c>
    </row>
    <row r="296" spans="18:26" ht="34" customHeight="1">
      <c r="R296" s="10">
        <f>IF(A296="","",IF(COUNT(O296:Q296)&lt;3,"待补充",IF(MIN(O296:Q296)&lt;0,"检查输入",SUM(O296:Q296))))</f>
        <v/>
      </c>
      <c r="Z296" s="9">
        <f>IF(A296="","",IF(COUNTIF($A$2:$A$301,A296)&gt;1,"寄样单ID重复",IF(OR(B296="",D296="",S296=""),"待补合作/负责人/状态",IF(COUNTIF('达人线索与合作'!$B$2:$B$301,B296)&lt;&gt;1,"合作ID未唯一匹配","已关联；核对审批与签收"))))</f>
        <v/>
      </c>
    </row>
    <row r="297" spans="18:26" ht="34" customHeight="1">
      <c r="R297" s="10">
        <f>IF(A297="","",IF(COUNT(O297:Q297)&lt;3,"待补充",IF(MIN(O297:Q297)&lt;0,"检查输入",SUM(O297:Q297))))</f>
        <v/>
      </c>
      <c r="Z297" s="9">
        <f>IF(A297="","",IF(COUNTIF($A$2:$A$301,A297)&gt;1,"寄样单ID重复",IF(OR(B297="",D297="",S297=""),"待补合作/负责人/状态",IF(COUNTIF('达人线索与合作'!$B$2:$B$301,B297)&lt;&gt;1,"合作ID未唯一匹配","已关联；核对审批与签收"))))</f>
        <v/>
      </c>
    </row>
    <row r="298" spans="18:26" ht="34" customHeight="1">
      <c r="R298" s="10">
        <f>IF(A298="","",IF(COUNT(O298:Q298)&lt;3,"待补充",IF(MIN(O298:Q298)&lt;0,"检查输入",SUM(O298:Q298))))</f>
        <v/>
      </c>
      <c r="Z298" s="9">
        <f>IF(A298="","",IF(COUNTIF($A$2:$A$301,A298)&gt;1,"寄样单ID重复",IF(OR(B298="",D298="",S298=""),"待补合作/负责人/状态",IF(COUNTIF('达人线索与合作'!$B$2:$B$301,B298)&lt;&gt;1,"合作ID未唯一匹配","已关联；核对审批与签收"))))</f>
        <v/>
      </c>
    </row>
    <row r="299" spans="18:26" ht="34" customHeight="1">
      <c r="R299" s="10">
        <f>IF(A299="","",IF(COUNT(O299:Q299)&lt;3,"待补充",IF(MIN(O299:Q299)&lt;0,"检查输入",SUM(O299:Q299))))</f>
        <v/>
      </c>
      <c r="Z299" s="9">
        <f>IF(A299="","",IF(COUNTIF($A$2:$A$301,A299)&gt;1,"寄样单ID重复",IF(OR(B299="",D299="",S299=""),"待补合作/负责人/状态",IF(COUNTIF('达人线索与合作'!$B$2:$B$301,B299)&lt;&gt;1,"合作ID未唯一匹配","已关联；核对审批与签收"))))</f>
        <v/>
      </c>
    </row>
    <row r="300" spans="18:26" ht="34" customHeight="1">
      <c r="R300" s="10">
        <f>IF(A300="","",IF(COUNT(O300:Q300)&lt;3,"待补充",IF(MIN(O300:Q300)&lt;0,"检查输入",SUM(O300:Q300))))</f>
        <v/>
      </c>
      <c r="Z300" s="9">
        <f>IF(A300="","",IF(COUNTIF($A$2:$A$301,A300)&gt;1,"寄样单ID重复",IF(OR(B300="",D300="",S300=""),"待补合作/负责人/状态",IF(COUNTIF('达人线索与合作'!$B$2:$B$301,B300)&lt;&gt;1,"合作ID未唯一匹配","已关联；核对审批与签收"))))</f>
        <v/>
      </c>
    </row>
    <row r="301" spans="18:26" ht="34" customHeight="1">
      <c r="R301" s="10">
        <f>IF(A301="","",IF(COUNT(O301:Q301)&lt;3,"待补充",IF(MIN(O301:Q301)&lt;0,"检查输入",SUM(O301:Q301))))</f>
        <v/>
      </c>
      <c r="Z301" s="9">
        <f>IF(A301="","",IF(COUNTIF($A$2:$A$301,A301)&gt;1,"寄样单ID重复",IF(OR(B301="",D301="",S301=""),"待补合作/负责人/状态",IF(COUNTIF('达人线索与合作'!$B$2:$B$301,B301)&lt;&gt;1,"合作ID未唯一匹配","已关联；核对审批与签收"))))</f>
        <v/>
      </c>
    </row>
  </sheetData>
  <autoFilter ref="A1:Z301"/>
  <conditionalFormatting sqref="A2:Z301">
    <cfRule type="expression" dxfId="0" priority="1">
      <formula>AND($A2&lt;&gt;"",$T2&lt;&gt;"",$T2&lt;TODAY(),$S2&lt;&gt;"已完成",$S2&lt;&gt;"已取消")</formula>
    </cfRule>
  </conditionalFormatting>
  <dataValidations count="12">
    <dataValidation type="date" allowBlank="1" showInputMessage="1" showErrorMessage="1" errorTitle="日期不正确" error="请填写 2000–2100 年间有效日期。" promptTitle="真实业务日期" prompt="按 yyyy-mm-dd 填写；不知道先留空。" sqref="F2:F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G2:G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H2:H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K2:K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L2:L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N2:N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T2:T301">
      <formula1>36526</formula1>
      <formula2>73415</formula2>
    </dataValidation>
    <dataValidation type="decimal" allowBlank="1" showInputMessage="1" showErrorMessage="1" errorTitle="输入范围不正确" error="请填写非负数；确认没有费用时填 0，未知时留空。" sqref="O2:O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P2:P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Q2:Q301">
      <formula1>0</formula1>
      <formula2>1000000000</formula2>
    </dataValidation>
    <dataValidation type="list" allowBlank="1" showInputMessage="1" showErrorMessage="1" errorTitle="请选择有效状态" error="从下拉选项选择；参数字典中维护选项。" sqref="S2:S301">
      <formula1>SampleStatus</formula1>
    </dataValidation>
    <dataValidation type="list" allowBlank="1" showInputMessage="1" showErrorMessage="1" errorTitle="请选择有效状态" error="从下拉选项选择；参数字典中维护选项。" sqref="Y2:Y301">
      <formula1>YesNo</formula1>
    </dataValidation>
  </dataValidations>
  <pageMargins left="0.7" right="0.7" top="0.75" bottom="0.75" header="0.3" footer="0.3"/>
  <pageSetup fitToHeight="0" orientation="landscape"/>
  <headerFooter>
    <oddFooter>&amp;L达人带货商务 · 空白模板&amp;R第 &amp;P / &amp;N 页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89F8D"/>
    <pageSetUpPr fitToPage="1"/>
  </sheetPr>
  <dimension ref="A1:AG30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4" customHeight="1"/>
  <cols>
    <col min="1" max="4" width="18.7109375" style="1" customWidth="1"/>
    <col min="5" max="7" width="14.7109375" style="2" customWidth="1"/>
    <col min="8" max="8" width="18.7109375" style="1" customWidth="1"/>
    <col min="9" max="9" width="14.7109375" style="2" customWidth="1"/>
    <col min="10" max="10" width="30.7109375" style="1" customWidth="1"/>
    <col min="11" max="13" width="17.7109375" style="6" customWidth="1"/>
    <col min="14" max="19" width="17.7109375" style="7" customWidth="1"/>
    <col min="20" max="20" width="17.7109375" style="6" customWidth="1"/>
    <col min="21" max="24" width="17.7109375" style="7" customWidth="1"/>
    <col min="25" max="25" width="18.7109375" style="1" customWidth="1"/>
    <col min="26" max="26" width="32.7109375" style="1" customWidth="1"/>
    <col min="27" max="27" width="40.7109375" style="1" customWidth="1"/>
    <col min="28" max="28" width="14.7109375" style="2" customWidth="1"/>
    <col min="29" max="30" width="18.7109375" style="1" customWidth="1"/>
    <col min="31" max="31" width="36.7109375" style="1" customWidth="1"/>
    <col min="32" max="32" width="42.7109375" style="1" customWidth="1"/>
    <col min="33" max="33" width="18.7109375" style="1" customWidth="1"/>
  </cols>
  <sheetData>
    <row r="1" spans="1:33" ht="48" customHeight="1">
      <c r="A1" s="3" t="s">
        <v>165</v>
      </c>
      <c r="B1" s="3" t="s">
        <v>116</v>
      </c>
      <c r="C1" s="3" t="s">
        <v>166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120</v>
      </c>
      <c r="I1" s="3" t="s">
        <v>171</v>
      </c>
      <c r="J1" s="3" t="s">
        <v>172</v>
      </c>
      <c r="K1" s="3" t="s">
        <v>173</v>
      </c>
      <c r="L1" s="3" t="s">
        <v>174</v>
      </c>
      <c r="M1" s="3" t="s">
        <v>175</v>
      </c>
      <c r="N1" s="3" t="s">
        <v>176</v>
      </c>
      <c r="O1" s="3" t="s">
        <v>177</v>
      </c>
      <c r="P1" s="3" t="s">
        <v>178</v>
      </c>
      <c r="Q1" s="3" t="s">
        <v>179</v>
      </c>
      <c r="R1" s="3" t="s">
        <v>180</v>
      </c>
      <c r="S1" s="3" t="s">
        <v>181</v>
      </c>
      <c r="T1" s="3" t="s">
        <v>182</v>
      </c>
      <c r="U1" s="3" t="s">
        <v>183</v>
      </c>
      <c r="V1" s="3" t="s">
        <v>184</v>
      </c>
      <c r="W1" s="3" t="s">
        <v>185</v>
      </c>
      <c r="X1" s="3" t="s">
        <v>186</v>
      </c>
      <c r="Y1" s="3" t="s">
        <v>187</v>
      </c>
      <c r="Z1" s="3" t="s">
        <v>188</v>
      </c>
      <c r="AA1" s="3" t="s">
        <v>189</v>
      </c>
      <c r="AB1" s="3" t="s">
        <v>190</v>
      </c>
      <c r="AC1" s="3" t="s">
        <v>134</v>
      </c>
      <c r="AD1" s="3" t="s">
        <v>191</v>
      </c>
      <c r="AE1" s="3" t="s">
        <v>192</v>
      </c>
      <c r="AF1" s="3" t="s">
        <v>146</v>
      </c>
      <c r="AG1" s="3" t="s">
        <v>193</v>
      </c>
    </row>
    <row r="2" spans="1:33" ht="34" customHeight="1">
      <c r="Y2" s="10">
        <f>IF(A2="","",IF(COUNT(P2,R2:S2,U2:X2)&lt;7,"待补充",IF(MIN(P2,R2:S2,U2:X2)&lt;0,"检查输入",ROUND(P2-SUM(R2:S2)-SUM(U2:X2),4))))</f>
        <v/>
      </c>
      <c r="AF2" s="9">
        <f>IF(A2="","",IF(COUNTIF($A$2:$A$301,A2)&gt;1,"归因记录ID重复",IF(OR(B2="",C2="",D2="",H2="",COUNT(E2:G2)&lt;3,I2="",Z2=""),"待补归因/证据/日期",IF(F2&lt;E2,"窗口起止错误",IF(COUNTIF('达人线索与合作'!$B$2:$B$301,B2)&lt;&gt;1,"合作ID未唯一匹配",IF(COUNTIFS($B$2:$B$301,B2,$C$2:$C$301,C2,$D$2:$D$301,D2,$E$2:$E$301,E2,$F$2:$F$301,F2)&gt;1,"窗口重复：应更新原行",IF(AND(AD2="是",COUNTIFS($B$2:$B$301,B2,$C$2:$C$301,C2,$D$2:$D$301,D2,$AD$2:$AD$301,"是")&gt;1),"重复汇总：同视频SKU仅选一行",IF(AND(AC2="已复盘",AD2="是",ISNUMBER(Y2),AE2&lt;&gt;""),"可汇总","观察中/未完成结算核对"))))))))</f>
        <v/>
      </c>
      <c r="AG2" s="9">
        <f>IF(C2="","",IF(OR(H2="",I2=""),"待补充",IF(COUNTIFS($C$2:$C$301,C2,$H$2:$H$301,H2,$I$2:$I$301,I2)&lt;&gt;COUNTIF($C$2:$C$301,C2),"请统一日期/负责人",IF(COUNTIF($C$2:C2,C2)=1,1,0))))</f>
        <v/>
      </c>
    </row>
    <row r="3" spans="1:33" ht="34" customHeight="1">
      <c r="Y3" s="10">
        <f>IF(A3="","",IF(COUNT(P3,R3:S3,U3:X3)&lt;7,"待补充",IF(MIN(P3,R3:S3,U3:X3)&lt;0,"检查输入",ROUND(P3-SUM(R3:S3)-SUM(U3:X3),4))))</f>
        <v/>
      </c>
      <c r="AF3" s="9">
        <f>IF(A3="","",IF(COUNTIF($A$2:$A$301,A3)&gt;1,"归因记录ID重复",IF(OR(B3="",C3="",D3="",H3="",COUNT(E3:G3)&lt;3,I3="",Z3=""),"待补归因/证据/日期",IF(F3&lt;E3,"窗口起止错误",IF(COUNTIF('达人线索与合作'!$B$2:$B$301,B3)&lt;&gt;1,"合作ID未唯一匹配",IF(COUNTIFS($B$2:$B$301,B3,$C$2:$C$301,C3,$D$2:$D$301,D3,$E$2:$E$301,E3,$F$2:$F$301,F3)&gt;1,"窗口重复：应更新原行",IF(AND(AD3="是",COUNTIFS($B$2:$B$301,B3,$C$2:$C$301,C3,$D$2:$D$301,D3,$AD$2:$AD$301,"是")&gt;1),"重复汇总：同视频SKU仅选一行",IF(AND(AC3="已复盘",AD3="是",ISNUMBER(Y3),AE3&lt;&gt;""),"可汇总","观察中/未完成结算核对"))))))))</f>
        <v/>
      </c>
      <c r="AG3" s="9">
        <f>IF(C3="","",IF(OR(H3="",I3=""),"待补充",IF(COUNTIFS($C$2:$C$301,C3,$H$2:$H$301,H3,$I$2:$I$301,I3)&lt;&gt;COUNTIF($C$2:$C$301,C3),"请统一日期/负责人",IF(COUNTIF($C$2:C3,C3)=1,1,0))))</f>
        <v/>
      </c>
    </row>
    <row r="4" spans="1:33" ht="34" customHeight="1">
      <c r="Y4" s="10">
        <f>IF(A4="","",IF(COUNT(P4,R4:S4,U4:X4)&lt;7,"待补充",IF(MIN(P4,R4:S4,U4:X4)&lt;0,"检查输入",ROUND(P4-SUM(R4:S4)-SUM(U4:X4),4))))</f>
        <v/>
      </c>
      <c r="AF4" s="9">
        <f>IF(A4="","",IF(COUNTIF($A$2:$A$301,A4)&gt;1,"归因记录ID重复",IF(OR(B4="",C4="",D4="",H4="",COUNT(E4:G4)&lt;3,I4="",Z4=""),"待补归因/证据/日期",IF(F4&lt;E4,"窗口起止错误",IF(COUNTIF('达人线索与合作'!$B$2:$B$301,B4)&lt;&gt;1,"合作ID未唯一匹配",IF(COUNTIFS($B$2:$B$301,B4,$C$2:$C$301,C4,$D$2:$D$301,D4,$E$2:$E$301,E4,$F$2:$F$301,F4)&gt;1,"窗口重复：应更新原行",IF(AND(AD4="是",COUNTIFS($B$2:$B$301,B4,$C$2:$C$301,C4,$D$2:$D$301,D4,$AD$2:$AD$301,"是")&gt;1),"重复汇总：同视频SKU仅选一行",IF(AND(AC4="已复盘",AD4="是",ISNUMBER(Y4),AE4&lt;&gt;""),"可汇总","观察中/未完成结算核对"))))))))</f>
        <v/>
      </c>
      <c r="AG4" s="9">
        <f>IF(C4="","",IF(OR(H4="",I4=""),"待补充",IF(COUNTIFS($C$2:$C$301,C4,$H$2:$H$301,H4,$I$2:$I$301,I4)&lt;&gt;COUNTIF($C$2:$C$301,C4),"请统一日期/负责人",IF(COUNTIF($C$2:C4,C4)=1,1,0))))</f>
        <v/>
      </c>
    </row>
    <row r="5" spans="1:33" ht="34" customHeight="1">
      <c r="Y5" s="10">
        <f>IF(A5="","",IF(COUNT(P5,R5:S5,U5:X5)&lt;7,"待补充",IF(MIN(P5,R5:S5,U5:X5)&lt;0,"检查输入",ROUND(P5-SUM(R5:S5)-SUM(U5:X5),4))))</f>
        <v/>
      </c>
      <c r="AF5" s="9">
        <f>IF(A5="","",IF(COUNTIF($A$2:$A$301,A5)&gt;1,"归因记录ID重复",IF(OR(B5="",C5="",D5="",H5="",COUNT(E5:G5)&lt;3,I5="",Z5=""),"待补归因/证据/日期",IF(F5&lt;E5,"窗口起止错误",IF(COUNTIF('达人线索与合作'!$B$2:$B$301,B5)&lt;&gt;1,"合作ID未唯一匹配",IF(COUNTIFS($B$2:$B$301,B5,$C$2:$C$301,C5,$D$2:$D$301,D5,$E$2:$E$301,E5,$F$2:$F$301,F5)&gt;1,"窗口重复：应更新原行",IF(AND(AD5="是",COUNTIFS($B$2:$B$301,B5,$C$2:$C$301,C5,$D$2:$D$301,D5,$AD$2:$AD$301,"是")&gt;1),"重复汇总：同视频SKU仅选一行",IF(AND(AC5="已复盘",AD5="是",ISNUMBER(Y5),AE5&lt;&gt;""),"可汇总","观察中/未完成结算核对"))))))))</f>
        <v/>
      </c>
      <c r="AG5" s="9">
        <f>IF(C5="","",IF(OR(H5="",I5=""),"待补充",IF(COUNTIFS($C$2:$C$301,C5,$H$2:$H$301,H5,$I$2:$I$301,I5)&lt;&gt;COUNTIF($C$2:$C$301,C5),"请统一日期/负责人",IF(COUNTIF($C$2:C5,C5)=1,1,0))))</f>
        <v/>
      </c>
    </row>
    <row r="6" spans="1:33" ht="34" customHeight="1">
      <c r="Y6" s="10">
        <f>IF(A6="","",IF(COUNT(P6,R6:S6,U6:X6)&lt;7,"待补充",IF(MIN(P6,R6:S6,U6:X6)&lt;0,"检查输入",ROUND(P6-SUM(R6:S6)-SUM(U6:X6),4))))</f>
        <v/>
      </c>
      <c r="AF6" s="9">
        <f>IF(A6="","",IF(COUNTIF($A$2:$A$301,A6)&gt;1,"归因记录ID重复",IF(OR(B6="",C6="",D6="",H6="",COUNT(E6:G6)&lt;3,I6="",Z6=""),"待补归因/证据/日期",IF(F6&lt;E6,"窗口起止错误",IF(COUNTIF('达人线索与合作'!$B$2:$B$301,B6)&lt;&gt;1,"合作ID未唯一匹配",IF(COUNTIFS($B$2:$B$301,B6,$C$2:$C$301,C6,$D$2:$D$301,D6,$E$2:$E$301,E6,$F$2:$F$301,F6)&gt;1,"窗口重复：应更新原行",IF(AND(AD6="是",COUNTIFS($B$2:$B$301,B6,$C$2:$C$301,C6,$D$2:$D$301,D6,$AD$2:$AD$301,"是")&gt;1),"重复汇总：同视频SKU仅选一行",IF(AND(AC6="已复盘",AD6="是",ISNUMBER(Y6),AE6&lt;&gt;""),"可汇总","观察中/未完成结算核对"))))))))</f>
        <v/>
      </c>
      <c r="AG6" s="9">
        <f>IF(C6="","",IF(OR(H6="",I6=""),"待补充",IF(COUNTIFS($C$2:$C$301,C6,$H$2:$H$301,H6,$I$2:$I$301,I6)&lt;&gt;COUNTIF($C$2:$C$301,C6),"请统一日期/负责人",IF(COUNTIF($C$2:C6,C6)=1,1,0))))</f>
        <v/>
      </c>
    </row>
    <row r="7" spans="1:33" ht="34" customHeight="1">
      <c r="Y7" s="10">
        <f>IF(A7="","",IF(COUNT(P7,R7:S7,U7:X7)&lt;7,"待补充",IF(MIN(P7,R7:S7,U7:X7)&lt;0,"检查输入",ROUND(P7-SUM(R7:S7)-SUM(U7:X7),4))))</f>
        <v/>
      </c>
      <c r="AF7" s="9">
        <f>IF(A7="","",IF(COUNTIF($A$2:$A$301,A7)&gt;1,"归因记录ID重复",IF(OR(B7="",C7="",D7="",H7="",COUNT(E7:G7)&lt;3,I7="",Z7=""),"待补归因/证据/日期",IF(F7&lt;E7,"窗口起止错误",IF(COUNTIF('达人线索与合作'!$B$2:$B$301,B7)&lt;&gt;1,"合作ID未唯一匹配",IF(COUNTIFS($B$2:$B$301,B7,$C$2:$C$301,C7,$D$2:$D$301,D7,$E$2:$E$301,E7,$F$2:$F$301,F7)&gt;1,"窗口重复：应更新原行",IF(AND(AD7="是",COUNTIFS($B$2:$B$301,B7,$C$2:$C$301,C7,$D$2:$D$301,D7,$AD$2:$AD$301,"是")&gt;1),"重复汇总：同视频SKU仅选一行",IF(AND(AC7="已复盘",AD7="是",ISNUMBER(Y7),AE7&lt;&gt;""),"可汇总","观察中/未完成结算核对"))))))))</f>
        <v/>
      </c>
      <c r="AG7" s="9">
        <f>IF(C7="","",IF(OR(H7="",I7=""),"待补充",IF(COUNTIFS($C$2:$C$301,C7,$H$2:$H$301,H7,$I$2:$I$301,I7)&lt;&gt;COUNTIF($C$2:$C$301,C7),"请统一日期/负责人",IF(COUNTIF($C$2:C7,C7)=1,1,0))))</f>
        <v/>
      </c>
    </row>
    <row r="8" spans="1:33" ht="34" customHeight="1">
      <c r="Y8" s="10">
        <f>IF(A8="","",IF(COUNT(P8,R8:S8,U8:X8)&lt;7,"待补充",IF(MIN(P8,R8:S8,U8:X8)&lt;0,"检查输入",ROUND(P8-SUM(R8:S8)-SUM(U8:X8),4))))</f>
        <v/>
      </c>
      <c r="AF8" s="9">
        <f>IF(A8="","",IF(COUNTIF($A$2:$A$301,A8)&gt;1,"归因记录ID重复",IF(OR(B8="",C8="",D8="",H8="",COUNT(E8:G8)&lt;3,I8="",Z8=""),"待补归因/证据/日期",IF(F8&lt;E8,"窗口起止错误",IF(COUNTIF('达人线索与合作'!$B$2:$B$301,B8)&lt;&gt;1,"合作ID未唯一匹配",IF(COUNTIFS($B$2:$B$301,B8,$C$2:$C$301,C8,$D$2:$D$301,D8,$E$2:$E$301,E8,$F$2:$F$301,F8)&gt;1,"窗口重复：应更新原行",IF(AND(AD8="是",COUNTIFS($B$2:$B$301,B8,$C$2:$C$301,C8,$D$2:$D$301,D8,$AD$2:$AD$301,"是")&gt;1),"重复汇总：同视频SKU仅选一行",IF(AND(AC8="已复盘",AD8="是",ISNUMBER(Y8),AE8&lt;&gt;""),"可汇总","观察中/未完成结算核对"))))))))</f>
        <v/>
      </c>
      <c r="AG8" s="9">
        <f>IF(C8="","",IF(OR(H8="",I8=""),"待补充",IF(COUNTIFS($C$2:$C$301,C8,$H$2:$H$301,H8,$I$2:$I$301,I8)&lt;&gt;COUNTIF($C$2:$C$301,C8),"请统一日期/负责人",IF(COUNTIF($C$2:C8,C8)=1,1,0))))</f>
        <v/>
      </c>
    </row>
    <row r="9" spans="1:33" ht="34" customHeight="1">
      <c r="Y9" s="10">
        <f>IF(A9="","",IF(COUNT(P9,R9:S9,U9:X9)&lt;7,"待补充",IF(MIN(P9,R9:S9,U9:X9)&lt;0,"检查输入",ROUND(P9-SUM(R9:S9)-SUM(U9:X9),4))))</f>
        <v/>
      </c>
      <c r="AF9" s="9">
        <f>IF(A9="","",IF(COUNTIF($A$2:$A$301,A9)&gt;1,"归因记录ID重复",IF(OR(B9="",C9="",D9="",H9="",COUNT(E9:G9)&lt;3,I9="",Z9=""),"待补归因/证据/日期",IF(F9&lt;E9,"窗口起止错误",IF(COUNTIF('达人线索与合作'!$B$2:$B$301,B9)&lt;&gt;1,"合作ID未唯一匹配",IF(COUNTIFS($B$2:$B$301,B9,$C$2:$C$301,C9,$D$2:$D$301,D9,$E$2:$E$301,E9,$F$2:$F$301,F9)&gt;1,"窗口重复：应更新原行",IF(AND(AD9="是",COUNTIFS($B$2:$B$301,B9,$C$2:$C$301,C9,$D$2:$D$301,D9,$AD$2:$AD$301,"是")&gt;1),"重复汇总：同视频SKU仅选一行",IF(AND(AC9="已复盘",AD9="是",ISNUMBER(Y9),AE9&lt;&gt;""),"可汇总","观察中/未完成结算核对"))))))))</f>
        <v/>
      </c>
      <c r="AG9" s="9">
        <f>IF(C9="","",IF(OR(H9="",I9=""),"待补充",IF(COUNTIFS($C$2:$C$301,C9,$H$2:$H$301,H9,$I$2:$I$301,I9)&lt;&gt;COUNTIF($C$2:$C$301,C9),"请统一日期/负责人",IF(COUNTIF($C$2:C9,C9)=1,1,0))))</f>
        <v/>
      </c>
    </row>
    <row r="10" spans="1:33" ht="34" customHeight="1">
      <c r="Y10" s="10">
        <f>IF(A10="","",IF(COUNT(P10,R10:S10,U10:X10)&lt;7,"待补充",IF(MIN(P10,R10:S10,U10:X10)&lt;0,"检查输入",ROUND(P10-SUM(R10:S10)-SUM(U10:X10),4))))</f>
        <v/>
      </c>
      <c r="AF10" s="9">
        <f>IF(A10="","",IF(COUNTIF($A$2:$A$301,A10)&gt;1,"归因记录ID重复",IF(OR(B10="",C10="",D10="",H10="",COUNT(E10:G10)&lt;3,I10="",Z10=""),"待补归因/证据/日期",IF(F10&lt;E10,"窗口起止错误",IF(COUNTIF('达人线索与合作'!$B$2:$B$301,B10)&lt;&gt;1,"合作ID未唯一匹配",IF(COUNTIFS($B$2:$B$301,B10,$C$2:$C$301,C10,$D$2:$D$301,D10,$E$2:$E$301,E10,$F$2:$F$301,F10)&gt;1,"窗口重复：应更新原行",IF(AND(AD10="是",COUNTIFS($B$2:$B$301,B10,$C$2:$C$301,C10,$D$2:$D$301,D10,$AD$2:$AD$301,"是")&gt;1),"重复汇总：同视频SKU仅选一行",IF(AND(AC10="已复盘",AD10="是",ISNUMBER(Y10),AE10&lt;&gt;""),"可汇总","观察中/未完成结算核对"))))))))</f>
        <v/>
      </c>
      <c r="AG10" s="9">
        <f>IF(C10="","",IF(OR(H10="",I10=""),"待补充",IF(COUNTIFS($C$2:$C$301,C10,$H$2:$H$301,H10,$I$2:$I$301,I10)&lt;&gt;COUNTIF($C$2:$C$301,C10),"请统一日期/负责人",IF(COUNTIF($C$2:C10,C10)=1,1,0))))</f>
        <v/>
      </c>
    </row>
    <row r="11" spans="1:33" ht="34" customHeight="1">
      <c r="Y11" s="10">
        <f>IF(A11="","",IF(COUNT(P11,R11:S11,U11:X11)&lt;7,"待补充",IF(MIN(P11,R11:S11,U11:X11)&lt;0,"检查输入",ROUND(P11-SUM(R11:S11)-SUM(U11:X11),4))))</f>
        <v/>
      </c>
      <c r="AF11" s="9">
        <f>IF(A11="","",IF(COUNTIF($A$2:$A$301,A11)&gt;1,"归因记录ID重复",IF(OR(B11="",C11="",D11="",H11="",COUNT(E11:G11)&lt;3,I11="",Z11=""),"待补归因/证据/日期",IF(F11&lt;E11,"窗口起止错误",IF(COUNTIF('达人线索与合作'!$B$2:$B$301,B11)&lt;&gt;1,"合作ID未唯一匹配",IF(COUNTIFS($B$2:$B$301,B11,$C$2:$C$301,C11,$D$2:$D$301,D11,$E$2:$E$301,E11,$F$2:$F$301,F11)&gt;1,"窗口重复：应更新原行",IF(AND(AD11="是",COUNTIFS($B$2:$B$301,B11,$C$2:$C$301,C11,$D$2:$D$301,D11,$AD$2:$AD$301,"是")&gt;1),"重复汇总：同视频SKU仅选一行",IF(AND(AC11="已复盘",AD11="是",ISNUMBER(Y11),AE11&lt;&gt;""),"可汇总","观察中/未完成结算核对"))))))))</f>
        <v/>
      </c>
      <c r="AG11" s="9">
        <f>IF(C11="","",IF(OR(H11="",I11=""),"待补充",IF(COUNTIFS($C$2:$C$301,C11,$H$2:$H$301,H11,$I$2:$I$301,I11)&lt;&gt;COUNTIF($C$2:$C$301,C11),"请统一日期/负责人",IF(COUNTIF($C$2:C11,C11)=1,1,0))))</f>
        <v/>
      </c>
    </row>
    <row r="12" spans="1:33" ht="34" customHeight="1">
      <c r="Y12" s="10">
        <f>IF(A12="","",IF(COUNT(P12,R12:S12,U12:X12)&lt;7,"待补充",IF(MIN(P12,R12:S12,U12:X12)&lt;0,"检查输入",ROUND(P12-SUM(R12:S12)-SUM(U12:X12),4))))</f>
        <v/>
      </c>
      <c r="AF12" s="9">
        <f>IF(A12="","",IF(COUNTIF($A$2:$A$301,A12)&gt;1,"归因记录ID重复",IF(OR(B12="",C12="",D12="",H12="",COUNT(E12:G12)&lt;3,I12="",Z12=""),"待补归因/证据/日期",IF(F12&lt;E12,"窗口起止错误",IF(COUNTIF('达人线索与合作'!$B$2:$B$301,B12)&lt;&gt;1,"合作ID未唯一匹配",IF(COUNTIFS($B$2:$B$301,B12,$C$2:$C$301,C12,$D$2:$D$301,D12,$E$2:$E$301,E12,$F$2:$F$301,F12)&gt;1,"窗口重复：应更新原行",IF(AND(AD12="是",COUNTIFS($B$2:$B$301,B12,$C$2:$C$301,C12,$D$2:$D$301,D12,$AD$2:$AD$301,"是")&gt;1),"重复汇总：同视频SKU仅选一行",IF(AND(AC12="已复盘",AD12="是",ISNUMBER(Y12),AE12&lt;&gt;""),"可汇总","观察中/未完成结算核对"))))))))</f>
        <v/>
      </c>
      <c r="AG12" s="9">
        <f>IF(C12="","",IF(OR(H12="",I12=""),"待补充",IF(COUNTIFS($C$2:$C$301,C12,$H$2:$H$301,H12,$I$2:$I$301,I12)&lt;&gt;COUNTIF($C$2:$C$301,C12),"请统一日期/负责人",IF(COUNTIF($C$2:C12,C12)=1,1,0))))</f>
        <v/>
      </c>
    </row>
    <row r="13" spans="1:33" ht="34" customHeight="1">
      <c r="Y13" s="10">
        <f>IF(A13="","",IF(COUNT(P13,R13:S13,U13:X13)&lt;7,"待补充",IF(MIN(P13,R13:S13,U13:X13)&lt;0,"检查输入",ROUND(P13-SUM(R13:S13)-SUM(U13:X13),4))))</f>
        <v/>
      </c>
      <c r="AF13" s="9">
        <f>IF(A13="","",IF(COUNTIF($A$2:$A$301,A13)&gt;1,"归因记录ID重复",IF(OR(B13="",C13="",D13="",H13="",COUNT(E13:G13)&lt;3,I13="",Z13=""),"待补归因/证据/日期",IF(F13&lt;E13,"窗口起止错误",IF(COUNTIF('达人线索与合作'!$B$2:$B$301,B13)&lt;&gt;1,"合作ID未唯一匹配",IF(COUNTIFS($B$2:$B$301,B13,$C$2:$C$301,C13,$D$2:$D$301,D13,$E$2:$E$301,E13,$F$2:$F$301,F13)&gt;1,"窗口重复：应更新原行",IF(AND(AD13="是",COUNTIFS($B$2:$B$301,B13,$C$2:$C$301,C13,$D$2:$D$301,D13,$AD$2:$AD$301,"是")&gt;1),"重复汇总：同视频SKU仅选一行",IF(AND(AC13="已复盘",AD13="是",ISNUMBER(Y13),AE13&lt;&gt;""),"可汇总","观察中/未完成结算核对"))))))))</f>
        <v/>
      </c>
      <c r="AG13" s="9">
        <f>IF(C13="","",IF(OR(H13="",I13=""),"待补充",IF(COUNTIFS($C$2:$C$301,C13,$H$2:$H$301,H13,$I$2:$I$301,I13)&lt;&gt;COUNTIF($C$2:$C$301,C13),"请统一日期/负责人",IF(COUNTIF($C$2:C13,C13)=1,1,0))))</f>
        <v/>
      </c>
    </row>
    <row r="14" spans="1:33" ht="34" customHeight="1">
      <c r="Y14" s="10">
        <f>IF(A14="","",IF(COUNT(P14,R14:S14,U14:X14)&lt;7,"待补充",IF(MIN(P14,R14:S14,U14:X14)&lt;0,"检查输入",ROUND(P14-SUM(R14:S14)-SUM(U14:X14),4))))</f>
        <v/>
      </c>
      <c r="AF14" s="9">
        <f>IF(A14="","",IF(COUNTIF($A$2:$A$301,A14)&gt;1,"归因记录ID重复",IF(OR(B14="",C14="",D14="",H14="",COUNT(E14:G14)&lt;3,I14="",Z14=""),"待补归因/证据/日期",IF(F14&lt;E14,"窗口起止错误",IF(COUNTIF('达人线索与合作'!$B$2:$B$301,B14)&lt;&gt;1,"合作ID未唯一匹配",IF(COUNTIFS($B$2:$B$301,B14,$C$2:$C$301,C14,$D$2:$D$301,D14,$E$2:$E$301,E14,$F$2:$F$301,F14)&gt;1,"窗口重复：应更新原行",IF(AND(AD14="是",COUNTIFS($B$2:$B$301,B14,$C$2:$C$301,C14,$D$2:$D$301,D14,$AD$2:$AD$301,"是")&gt;1),"重复汇总：同视频SKU仅选一行",IF(AND(AC14="已复盘",AD14="是",ISNUMBER(Y14),AE14&lt;&gt;""),"可汇总","观察中/未完成结算核对"))))))))</f>
        <v/>
      </c>
      <c r="AG14" s="9">
        <f>IF(C14="","",IF(OR(H14="",I14=""),"待补充",IF(COUNTIFS($C$2:$C$301,C14,$H$2:$H$301,H14,$I$2:$I$301,I14)&lt;&gt;COUNTIF($C$2:$C$301,C14),"请统一日期/负责人",IF(COUNTIF($C$2:C14,C14)=1,1,0))))</f>
        <v/>
      </c>
    </row>
    <row r="15" spans="1:33" ht="34" customHeight="1">
      <c r="Y15" s="10">
        <f>IF(A15="","",IF(COUNT(P15,R15:S15,U15:X15)&lt;7,"待补充",IF(MIN(P15,R15:S15,U15:X15)&lt;0,"检查输入",ROUND(P15-SUM(R15:S15)-SUM(U15:X15),4))))</f>
        <v/>
      </c>
      <c r="AF15" s="9">
        <f>IF(A15="","",IF(COUNTIF($A$2:$A$301,A15)&gt;1,"归因记录ID重复",IF(OR(B15="",C15="",D15="",H15="",COUNT(E15:G15)&lt;3,I15="",Z15=""),"待补归因/证据/日期",IF(F15&lt;E15,"窗口起止错误",IF(COUNTIF('达人线索与合作'!$B$2:$B$301,B15)&lt;&gt;1,"合作ID未唯一匹配",IF(COUNTIFS($B$2:$B$301,B15,$C$2:$C$301,C15,$D$2:$D$301,D15,$E$2:$E$301,E15,$F$2:$F$301,F15)&gt;1,"窗口重复：应更新原行",IF(AND(AD15="是",COUNTIFS($B$2:$B$301,B15,$C$2:$C$301,C15,$D$2:$D$301,D15,$AD$2:$AD$301,"是")&gt;1),"重复汇总：同视频SKU仅选一行",IF(AND(AC15="已复盘",AD15="是",ISNUMBER(Y15),AE15&lt;&gt;""),"可汇总","观察中/未完成结算核对"))))))))</f>
        <v/>
      </c>
      <c r="AG15" s="9">
        <f>IF(C15="","",IF(OR(H15="",I15=""),"待补充",IF(COUNTIFS($C$2:$C$301,C15,$H$2:$H$301,H15,$I$2:$I$301,I15)&lt;&gt;COUNTIF($C$2:$C$301,C15),"请统一日期/负责人",IF(COUNTIF($C$2:C15,C15)=1,1,0))))</f>
        <v/>
      </c>
    </row>
    <row r="16" spans="1:33" ht="34" customHeight="1">
      <c r="Y16" s="10">
        <f>IF(A16="","",IF(COUNT(P16,R16:S16,U16:X16)&lt;7,"待补充",IF(MIN(P16,R16:S16,U16:X16)&lt;0,"检查输入",ROUND(P16-SUM(R16:S16)-SUM(U16:X16),4))))</f>
        <v/>
      </c>
      <c r="AF16" s="9">
        <f>IF(A16="","",IF(COUNTIF($A$2:$A$301,A16)&gt;1,"归因记录ID重复",IF(OR(B16="",C16="",D16="",H16="",COUNT(E16:G16)&lt;3,I16="",Z16=""),"待补归因/证据/日期",IF(F16&lt;E16,"窗口起止错误",IF(COUNTIF('达人线索与合作'!$B$2:$B$301,B16)&lt;&gt;1,"合作ID未唯一匹配",IF(COUNTIFS($B$2:$B$301,B16,$C$2:$C$301,C16,$D$2:$D$301,D16,$E$2:$E$301,E16,$F$2:$F$301,F16)&gt;1,"窗口重复：应更新原行",IF(AND(AD16="是",COUNTIFS($B$2:$B$301,B16,$C$2:$C$301,C16,$D$2:$D$301,D16,$AD$2:$AD$301,"是")&gt;1),"重复汇总：同视频SKU仅选一行",IF(AND(AC16="已复盘",AD16="是",ISNUMBER(Y16),AE16&lt;&gt;""),"可汇总","观察中/未完成结算核对"))))))))</f>
        <v/>
      </c>
      <c r="AG16" s="9">
        <f>IF(C16="","",IF(OR(H16="",I16=""),"待补充",IF(COUNTIFS($C$2:$C$301,C16,$H$2:$H$301,H16,$I$2:$I$301,I16)&lt;&gt;COUNTIF($C$2:$C$301,C16),"请统一日期/负责人",IF(COUNTIF($C$2:C16,C16)=1,1,0))))</f>
        <v/>
      </c>
    </row>
    <row r="17" spans="25:33" ht="34" customHeight="1">
      <c r="Y17" s="10">
        <f>IF(A17="","",IF(COUNT(P17,R17:S17,U17:X17)&lt;7,"待补充",IF(MIN(P17,R17:S17,U17:X17)&lt;0,"检查输入",ROUND(P17-SUM(R17:S17)-SUM(U17:X17),4))))</f>
        <v/>
      </c>
      <c r="AF17" s="9">
        <f>IF(A17="","",IF(COUNTIF($A$2:$A$301,A17)&gt;1,"归因记录ID重复",IF(OR(B17="",C17="",D17="",H17="",COUNT(E17:G17)&lt;3,I17="",Z17=""),"待补归因/证据/日期",IF(F17&lt;E17,"窗口起止错误",IF(COUNTIF('达人线索与合作'!$B$2:$B$301,B17)&lt;&gt;1,"合作ID未唯一匹配",IF(COUNTIFS($B$2:$B$301,B17,$C$2:$C$301,C17,$D$2:$D$301,D17,$E$2:$E$301,E17,$F$2:$F$301,F17)&gt;1,"窗口重复：应更新原行",IF(AND(AD17="是",COUNTIFS($B$2:$B$301,B17,$C$2:$C$301,C17,$D$2:$D$301,D17,$AD$2:$AD$301,"是")&gt;1),"重复汇总：同视频SKU仅选一行",IF(AND(AC17="已复盘",AD17="是",ISNUMBER(Y17),AE17&lt;&gt;""),"可汇总","观察中/未完成结算核对"))))))))</f>
        <v/>
      </c>
      <c r="AG17" s="9">
        <f>IF(C17="","",IF(OR(H17="",I17=""),"待补充",IF(COUNTIFS($C$2:$C$301,C17,$H$2:$H$301,H17,$I$2:$I$301,I17)&lt;&gt;COUNTIF($C$2:$C$301,C17),"请统一日期/负责人",IF(COUNTIF($C$2:C17,C17)=1,1,0))))</f>
        <v/>
      </c>
    </row>
    <row r="18" spans="25:33" ht="34" customHeight="1">
      <c r="Y18" s="10">
        <f>IF(A18="","",IF(COUNT(P18,R18:S18,U18:X18)&lt;7,"待补充",IF(MIN(P18,R18:S18,U18:X18)&lt;0,"检查输入",ROUND(P18-SUM(R18:S18)-SUM(U18:X18),4))))</f>
        <v/>
      </c>
      <c r="AF18" s="9">
        <f>IF(A18="","",IF(COUNTIF($A$2:$A$301,A18)&gt;1,"归因记录ID重复",IF(OR(B18="",C18="",D18="",H18="",COUNT(E18:G18)&lt;3,I18="",Z18=""),"待补归因/证据/日期",IF(F18&lt;E18,"窗口起止错误",IF(COUNTIF('达人线索与合作'!$B$2:$B$301,B18)&lt;&gt;1,"合作ID未唯一匹配",IF(COUNTIFS($B$2:$B$301,B18,$C$2:$C$301,C18,$D$2:$D$301,D18,$E$2:$E$301,E18,$F$2:$F$301,F18)&gt;1,"窗口重复：应更新原行",IF(AND(AD18="是",COUNTIFS($B$2:$B$301,B18,$C$2:$C$301,C18,$D$2:$D$301,D18,$AD$2:$AD$301,"是")&gt;1),"重复汇总：同视频SKU仅选一行",IF(AND(AC18="已复盘",AD18="是",ISNUMBER(Y18),AE18&lt;&gt;""),"可汇总","观察中/未完成结算核对"))))))))</f>
        <v/>
      </c>
      <c r="AG18" s="9">
        <f>IF(C18="","",IF(OR(H18="",I18=""),"待补充",IF(COUNTIFS($C$2:$C$301,C18,$H$2:$H$301,H18,$I$2:$I$301,I18)&lt;&gt;COUNTIF($C$2:$C$301,C18),"请统一日期/负责人",IF(COUNTIF($C$2:C18,C18)=1,1,0))))</f>
        <v/>
      </c>
    </row>
    <row r="19" spans="25:33" ht="34" customHeight="1">
      <c r="Y19" s="10">
        <f>IF(A19="","",IF(COUNT(P19,R19:S19,U19:X19)&lt;7,"待补充",IF(MIN(P19,R19:S19,U19:X19)&lt;0,"检查输入",ROUND(P19-SUM(R19:S19)-SUM(U19:X19),4))))</f>
        <v/>
      </c>
      <c r="AF19" s="9">
        <f>IF(A19="","",IF(COUNTIF($A$2:$A$301,A19)&gt;1,"归因记录ID重复",IF(OR(B19="",C19="",D19="",H19="",COUNT(E19:G19)&lt;3,I19="",Z19=""),"待补归因/证据/日期",IF(F19&lt;E19,"窗口起止错误",IF(COUNTIF('达人线索与合作'!$B$2:$B$301,B19)&lt;&gt;1,"合作ID未唯一匹配",IF(COUNTIFS($B$2:$B$301,B19,$C$2:$C$301,C19,$D$2:$D$301,D19,$E$2:$E$301,E19,$F$2:$F$301,F19)&gt;1,"窗口重复：应更新原行",IF(AND(AD19="是",COUNTIFS($B$2:$B$301,B19,$C$2:$C$301,C19,$D$2:$D$301,D19,$AD$2:$AD$301,"是")&gt;1),"重复汇总：同视频SKU仅选一行",IF(AND(AC19="已复盘",AD19="是",ISNUMBER(Y19),AE19&lt;&gt;""),"可汇总","观察中/未完成结算核对"))))))))</f>
        <v/>
      </c>
      <c r="AG19" s="9">
        <f>IF(C19="","",IF(OR(H19="",I19=""),"待补充",IF(COUNTIFS($C$2:$C$301,C19,$H$2:$H$301,H19,$I$2:$I$301,I19)&lt;&gt;COUNTIF($C$2:$C$301,C19),"请统一日期/负责人",IF(COUNTIF($C$2:C19,C19)=1,1,0))))</f>
        <v/>
      </c>
    </row>
    <row r="20" spans="25:33" ht="34" customHeight="1">
      <c r="Y20" s="10">
        <f>IF(A20="","",IF(COUNT(P20,R20:S20,U20:X20)&lt;7,"待补充",IF(MIN(P20,R20:S20,U20:X20)&lt;0,"检查输入",ROUND(P20-SUM(R20:S20)-SUM(U20:X20),4))))</f>
        <v/>
      </c>
      <c r="AF20" s="9">
        <f>IF(A20="","",IF(COUNTIF($A$2:$A$301,A20)&gt;1,"归因记录ID重复",IF(OR(B20="",C20="",D20="",H20="",COUNT(E20:G20)&lt;3,I20="",Z20=""),"待补归因/证据/日期",IF(F20&lt;E20,"窗口起止错误",IF(COUNTIF('达人线索与合作'!$B$2:$B$301,B20)&lt;&gt;1,"合作ID未唯一匹配",IF(COUNTIFS($B$2:$B$301,B20,$C$2:$C$301,C20,$D$2:$D$301,D20,$E$2:$E$301,E20,$F$2:$F$301,F20)&gt;1,"窗口重复：应更新原行",IF(AND(AD20="是",COUNTIFS($B$2:$B$301,B20,$C$2:$C$301,C20,$D$2:$D$301,D20,$AD$2:$AD$301,"是")&gt;1),"重复汇总：同视频SKU仅选一行",IF(AND(AC20="已复盘",AD20="是",ISNUMBER(Y20),AE20&lt;&gt;""),"可汇总","观察中/未完成结算核对"))))))))</f>
        <v/>
      </c>
      <c r="AG20" s="9">
        <f>IF(C20="","",IF(OR(H20="",I20=""),"待补充",IF(COUNTIFS($C$2:$C$301,C20,$H$2:$H$301,H20,$I$2:$I$301,I20)&lt;&gt;COUNTIF($C$2:$C$301,C20),"请统一日期/负责人",IF(COUNTIF($C$2:C20,C20)=1,1,0))))</f>
        <v/>
      </c>
    </row>
    <row r="21" spans="25:33" ht="34" customHeight="1">
      <c r="Y21" s="10">
        <f>IF(A21="","",IF(COUNT(P21,R21:S21,U21:X21)&lt;7,"待补充",IF(MIN(P21,R21:S21,U21:X21)&lt;0,"检查输入",ROUND(P21-SUM(R21:S21)-SUM(U21:X21),4))))</f>
        <v/>
      </c>
      <c r="AF21" s="9">
        <f>IF(A21="","",IF(COUNTIF($A$2:$A$301,A21)&gt;1,"归因记录ID重复",IF(OR(B21="",C21="",D21="",H21="",COUNT(E21:G21)&lt;3,I21="",Z21=""),"待补归因/证据/日期",IF(F21&lt;E21,"窗口起止错误",IF(COUNTIF('达人线索与合作'!$B$2:$B$301,B21)&lt;&gt;1,"合作ID未唯一匹配",IF(COUNTIFS($B$2:$B$301,B21,$C$2:$C$301,C21,$D$2:$D$301,D21,$E$2:$E$301,E21,$F$2:$F$301,F21)&gt;1,"窗口重复：应更新原行",IF(AND(AD21="是",COUNTIFS($B$2:$B$301,B21,$C$2:$C$301,C21,$D$2:$D$301,D21,$AD$2:$AD$301,"是")&gt;1),"重复汇总：同视频SKU仅选一行",IF(AND(AC21="已复盘",AD21="是",ISNUMBER(Y21),AE21&lt;&gt;""),"可汇总","观察中/未完成结算核对"))))))))</f>
        <v/>
      </c>
      <c r="AG21" s="9">
        <f>IF(C21="","",IF(OR(H21="",I21=""),"待补充",IF(COUNTIFS($C$2:$C$301,C21,$H$2:$H$301,H21,$I$2:$I$301,I21)&lt;&gt;COUNTIF($C$2:$C$301,C21),"请统一日期/负责人",IF(COUNTIF($C$2:C21,C21)=1,1,0))))</f>
        <v/>
      </c>
    </row>
    <row r="22" spans="25:33" ht="34" customHeight="1">
      <c r="Y22" s="10">
        <f>IF(A22="","",IF(COUNT(P22,R22:S22,U22:X22)&lt;7,"待补充",IF(MIN(P22,R22:S22,U22:X22)&lt;0,"检查输入",ROUND(P22-SUM(R22:S22)-SUM(U22:X22),4))))</f>
        <v/>
      </c>
      <c r="AF22" s="9">
        <f>IF(A22="","",IF(COUNTIF($A$2:$A$301,A22)&gt;1,"归因记录ID重复",IF(OR(B22="",C22="",D22="",H22="",COUNT(E22:G22)&lt;3,I22="",Z22=""),"待补归因/证据/日期",IF(F22&lt;E22,"窗口起止错误",IF(COUNTIF('达人线索与合作'!$B$2:$B$301,B22)&lt;&gt;1,"合作ID未唯一匹配",IF(COUNTIFS($B$2:$B$301,B22,$C$2:$C$301,C22,$D$2:$D$301,D22,$E$2:$E$301,E22,$F$2:$F$301,F22)&gt;1,"窗口重复：应更新原行",IF(AND(AD22="是",COUNTIFS($B$2:$B$301,B22,$C$2:$C$301,C22,$D$2:$D$301,D22,$AD$2:$AD$301,"是")&gt;1),"重复汇总：同视频SKU仅选一行",IF(AND(AC22="已复盘",AD22="是",ISNUMBER(Y22),AE22&lt;&gt;""),"可汇总","观察中/未完成结算核对"))))))))</f>
        <v/>
      </c>
      <c r="AG22" s="9">
        <f>IF(C22="","",IF(OR(H22="",I22=""),"待补充",IF(COUNTIFS($C$2:$C$301,C22,$H$2:$H$301,H22,$I$2:$I$301,I22)&lt;&gt;COUNTIF($C$2:$C$301,C22),"请统一日期/负责人",IF(COUNTIF($C$2:C22,C22)=1,1,0))))</f>
        <v/>
      </c>
    </row>
    <row r="23" spans="25:33" ht="34" customHeight="1">
      <c r="Y23" s="10">
        <f>IF(A23="","",IF(COUNT(P23,R23:S23,U23:X23)&lt;7,"待补充",IF(MIN(P23,R23:S23,U23:X23)&lt;0,"检查输入",ROUND(P23-SUM(R23:S23)-SUM(U23:X23),4))))</f>
        <v/>
      </c>
      <c r="AF23" s="9">
        <f>IF(A23="","",IF(COUNTIF($A$2:$A$301,A23)&gt;1,"归因记录ID重复",IF(OR(B23="",C23="",D23="",H23="",COUNT(E23:G23)&lt;3,I23="",Z23=""),"待补归因/证据/日期",IF(F23&lt;E23,"窗口起止错误",IF(COUNTIF('达人线索与合作'!$B$2:$B$301,B23)&lt;&gt;1,"合作ID未唯一匹配",IF(COUNTIFS($B$2:$B$301,B23,$C$2:$C$301,C23,$D$2:$D$301,D23,$E$2:$E$301,E23,$F$2:$F$301,F23)&gt;1,"窗口重复：应更新原行",IF(AND(AD23="是",COUNTIFS($B$2:$B$301,B23,$C$2:$C$301,C23,$D$2:$D$301,D23,$AD$2:$AD$301,"是")&gt;1),"重复汇总：同视频SKU仅选一行",IF(AND(AC23="已复盘",AD23="是",ISNUMBER(Y23),AE23&lt;&gt;""),"可汇总","观察中/未完成结算核对"))))))))</f>
        <v/>
      </c>
      <c r="AG23" s="9">
        <f>IF(C23="","",IF(OR(H23="",I23=""),"待补充",IF(COUNTIFS($C$2:$C$301,C23,$H$2:$H$301,H23,$I$2:$I$301,I23)&lt;&gt;COUNTIF($C$2:$C$301,C23),"请统一日期/负责人",IF(COUNTIF($C$2:C23,C23)=1,1,0))))</f>
        <v/>
      </c>
    </row>
    <row r="24" spans="25:33" ht="34" customHeight="1">
      <c r="Y24" s="10">
        <f>IF(A24="","",IF(COUNT(P24,R24:S24,U24:X24)&lt;7,"待补充",IF(MIN(P24,R24:S24,U24:X24)&lt;0,"检查输入",ROUND(P24-SUM(R24:S24)-SUM(U24:X24),4))))</f>
        <v/>
      </c>
      <c r="AF24" s="9">
        <f>IF(A24="","",IF(COUNTIF($A$2:$A$301,A24)&gt;1,"归因记录ID重复",IF(OR(B24="",C24="",D24="",H24="",COUNT(E24:G24)&lt;3,I24="",Z24=""),"待补归因/证据/日期",IF(F24&lt;E24,"窗口起止错误",IF(COUNTIF('达人线索与合作'!$B$2:$B$301,B24)&lt;&gt;1,"合作ID未唯一匹配",IF(COUNTIFS($B$2:$B$301,B24,$C$2:$C$301,C24,$D$2:$D$301,D24,$E$2:$E$301,E24,$F$2:$F$301,F24)&gt;1,"窗口重复：应更新原行",IF(AND(AD24="是",COUNTIFS($B$2:$B$301,B24,$C$2:$C$301,C24,$D$2:$D$301,D24,$AD$2:$AD$301,"是")&gt;1),"重复汇总：同视频SKU仅选一行",IF(AND(AC24="已复盘",AD24="是",ISNUMBER(Y24),AE24&lt;&gt;""),"可汇总","观察中/未完成结算核对"))))))))</f>
        <v/>
      </c>
      <c r="AG24" s="9">
        <f>IF(C24="","",IF(OR(H24="",I24=""),"待补充",IF(COUNTIFS($C$2:$C$301,C24,$H$2:$H$301,H24,$I$2:$I$301,I24)&lt;&gt;COUNTIF($C$2:$C$301,C24),"请统一日期/负责人",IF(COUNTIF($C$2:C24,C24)=1,1,0))))</f>
        <v/>
      </c>
    </row>
    <row r="25" spans="25:33" ht="34" customHeight="1">
      <c r="Y25" s="10">
        <f>IF(A25="","",IF(COUNT(P25,R25:S25,U25:X25)&lt;7,"待补充",IF(MIN(P25,R25:S25,U25:X25)&lt;0,"检查输入",ROUND(P25-SUM(R25:S25)-SUM(U25:X25),4))))</f>
        <v/>
      </c>
      <c r="AF25" s="9">
        <f>IF(A25="","",IF(COUNTIF($A$2:$A$301,A25)&gt;1,"归因记录ID重复",IF(OR(B25="",C25="",D25="",H25="",COUNT(E25:G25)&lt;3,I25="",Z25=""),"待补归因/证据/日期",IF(F25&lt;E25,"窗口起止错误",IF(COUNTIF('达人线索与合作'!$B$2:$B$301,B25)&lt;&gt;1,"合作ID未唯一匹配",IF(COUNTIFS($B$2:$B$301,B25,$C$2:$C$301,C25,$D$2:$D$301,D25,$E$2:$E$301,E25,$F$2:$F$301,F25)&gt;1,"窗口重复：应更新原行",IF(AND(AD25="是",COUNTIFS($B$2:$B$301,B25,$C$2:$C$301,C25,$D$2:$D$301,D25,$AD$2:$AD$301,"是")&gt;1),"重复汇总：同视频SKU仅选一行",IF(AND(AC25="已复盘",AD25="是",ISNUMBER(Y25),AE25&lt;&gt;""),"可汇总","观察中/未完成结算核对"))))))))</f>
        <v/>
      </c>
      <c r="AG25" s="9">
        <f>IF(C25="","",IF(OR(H25="",I25=""),"待补充",IF(COUNTIFS($C$2:$C$301,C25,$H$2:$H$301,H25,$I$2:$I$301,I25)&lt;&gt;COUNTIF($C$2:$C$301,C25),"请统一日期/负责人",IF(COUNTIF($C$2:C25,C25)=1,1,0))))</f>
        <v/>
      </c>
    </row>
    <row r="26" spans="25:33" ht="34" customHeight="1">
      <c r="Y26" s="10">
        <f>IF(A26="","",IF(COUNT(P26,R26:S26,U26:X26)&lt;7,"待补充",IF(MIN(P26,R26:S26,U26:X26)&lt;0,"检查输入",ROUND(P26-SUM(R26:S26)-SUM(U26:X26),4))))</f>
        <v/>
      </c>
      <c r="AF26" s="9">
        <f>IF(A26="","",IF(COUNTIF($A$2:$A$301,A26)&gt;1,"归因记录ID重复",IF(OR(B26="",C26="",D26="",H26="",COUNT(E26:G26)&lt;3,I26="",Z26=""),"待补归因/证据/日期",IF(F26&lt;E26,"窗口起止错误",IF(COUNTIF('达人线索与合作'!$B$2:$B$301,B26)&lt;&gt;1,"合作ID未唯一匹配",IF(COUNTIFS($B$2:$B$301,B26,$C$2:$C$301,C26,$D$2:$D$301,D26,$E$2:$E$301,E26,$F$2:$F$301,F26)&gt;1,"窗口重复：应更新原行",IF(AND(AD26="是",COUNTIFS($B$2:$B$301,B26,$C$2:$C$301,C26,$D$2:$D$301,D26,$AD$2:$AD$301,"是")&gt;1),"重复汇总：同视频SKU仅选一行",IF(AND(AC26="已复盘",AD26="是",ISNUMBER(Y26),AE26&lt;&gt;""),"可汇总","观察中/未完成结算核对"))))))))</f>
        <v/>
      </c>
      <c r="AG26" s="9">
        <f>IF(C26="","",IF(OR(H26="",I26=""),"待补充",IF(COUNTIFS($C$2:$C$301,C26,$H$2:$H$301,H26,$I$2:$I$301,I26)&lt;&gt;COUNTIF($C$2:$C$301,C26),"请统一日期/负责人",IF(COUNTIF($C$2:C26,C26)=1,1,0))))</f>
        <v/>
      </c>
    </row>
    <row r="27" spans="25:33" ht="34" customHeight="1">
      <c r="Y27" s="10">
        <f>IF(A27="","",IF(COUNT(P27,R27:S27,U27:X27)&lt;7,"待补充",IF(MIN(P27,R27:S27,U27:X27)&lt;0,"检查输入",ROUND(P27-SUM(R27:S27)-SUM(U27:X27),4))))</f>
        <v/>
      </c>
      <c r="AF27" s="9">
        <f>IF(A27="","",IF(COUNTIF($A$2:$A$301,A27)&gt;1,"归因记录ID重复",IF(OR(B27="",C27="",D27="",H27="",COUNT(E27:G27)&lt;3,I27="",Z27=""),"待补归因/证据/日期",IF(F27&lt;E27,"窗口起止错误",IF(COUNTIF('达人线索与合作'!$B$2:$B$301,B27)&lt;&gt;1,"合作ID未唯一匹配",IF(COUNTIFS($B$2:$B$301,B27,$C$2:$C$301,C27,$D$2:$D$301,D27,$E$2:$E$301,E27,$F$2:$F$301,F27)&gt;1,"窗口重复：应更新原行",IF(AND(AD27="是",COUNTIFS($B$2:$B$301,B27,$C$2:$C$301,C27,$D$2:$D$301,D27,$AD$2:$AD$301,"是")&gt;1),"重复汇总：同视频SKU仅选一行",IF(AND(AC27="已复盘",AD27="是",ISNUMBER(Y27),AE27&lt;&gt;""),"可汇总","观察中/未完成结算核对"))))))))</f>
        <v/>
      </c>
      <c r="AG27" s="9">
        <f>IF(C27="","",IF(OR(H27="",I27=""),"待补充",IF(COUNTIFS($C$2:$C$301,C27,$H$2:$H$301,H27,$I$2:$I$301,I27)&lt;&gt;COUNTIF($C$2:$C$301,C27),"请统一日期/负责人",IF(COUNTIF($C$2:C27,C27)=1,1,0))))</f>
        <v/>
      </c>
    </row>
    <row r="28" spans="25:33" ht="34" customHeight="1">
      <c r="Y28" s="10">
        <f>IF(A28="","",IF(COUNT(P28,R28:S28,U28:X28)&lt;7,"待补充",IF(MIN(P28,R28:S28,U28:X28)&lt;0,"检查输入",ROUND(P28-SUM(R28:S28)-SUM(U28:X28),4))))</f>
        <v/>
      </c>
      <c r="AF28" s="9">
        <f>IF(A28="","",IF(COUNTIF($A$2:$A$301,A28)&gt;1,"归因记录ID重复",IF(OR(B28="",C28="",D28="",H28="",COUNT(E28:G28)&lt;3,I28="",Z28=""),"待补归因/证据/日期",IF(F28&lt;E28,"窗口起止错误",IF(COUNTIF('达人线索与合作'!$B$2:$B$301,B28)&lt;&gt;1,"合作ID未唯一匹配",IF(COUNTIFS($B$2:$B$301,B28,$C$2:$C$301,C28,$D$2:$D$301,D28,$E$2:$E$301,E28,$F$2:$F$301,F28)&gt;1,"窗口重复：应更新原行",IF(AND(AD28="是",COUNTIFS($B$2:$B$301,B28,$C$2:$C$301,C28,$D$2:$D$301,D28,$AD$2:$AD$301,"是")&gt;1),"重复汇总：同视频SKU仅选一行",IF(AND(AC28="已复盘",AD28="是",ISNUMBER(Y28),AE28&lt;&gt;""),"可汇总","观察中/未完成结算核对"))))))))</f>
        <v/>
      </c>
      <c r="AG28" s="9">
        <f>IF(C28="","",IF(OR(H28="",I28=""),"待补充",IF(COUNTIFS($C$2:$C$301,C28,$H$2:$H$301,H28,$I$2:$I$301,I28)&lt;&gt;COUNTIF($C$2:$C$301,C28),"请统一日期/负责人",IF(COUNTIF($C$2:C28,C28)=1,1,0))))</f>
        <v/>
      </c>
    </row>
    <row r="29" spans="25:33" ht="34" customHeight="1">
      <c r="Y29" s="10">
        <f>IF(A29="","",IF(COUNT(P29,R29:S29,U29:X29)&lt;7,"待补充",IF(MIN(P29,R29:S29,U29:X29)&lt;0,"检查输入",ROUND(P29-SUM(R29:S29)-SUM(U29:X29),4))))</f>
        <v/>
      </c>
      <c r="AF29" s="9">
        <f>IF(A29="","",IF(COUNTIF($A$2:$A$301,A29)&gt;1,"归因记录ID重复",IF(OR(B29="",C29="",D29="",H29="",COUNT(E29:G29)&lt;3,I29="",Z29=""),"待补归因/证据/日期",IF(F29&lt;E29,"窗口起止错误",IF(COUNTIF('达人线索与合作'!$B$2:$B$301,B29)&lt;&gt;1,"合作ID未唯一匹配",IF(COUNTIFS($B$2:$B$301,B29,$C$2:$C$301,C29,$D$2:$D$301,D29,$E$2:$E$301,E29,$F$2:$F$301,F29)&gt;1,"窗口重复：应更新原行",IF(AND(AD29="是",COUNTIFS($B$2:$B$301,B29,$C$2:$C$301,C29,$D$2:$D$301,D29,$AD$2:$AD$301,"是")&gt;1),"重复汇总：同视频SKU仅选一行",IF(AND(AC29="已复盘",AD29="是",ISNUMBER(Y29),AE29&lt;&gt;""),"可汇总","观察中/未完成结算核对"))))))))</f>
        <v/>
      </c>
      <c r="AG29" s="9">
        <f>IF(C29="","",IF(OR(H29="",I29=""),"待补充",IF(COUNTIFS($C$2:$C$301,C29,$H$2:$H$301,H29,$I$2:$I$301,I29)&lt;&gt;COUNTIF($C$2:$C$301,C29),"请统一日期/负责人",IF(COUNTIF($C$2:C29,C29)=1,1,0))))</f>
        <v/>
      </c>
    </row>
    <row r="30" spans="25:33" ht="34" customHeight="1">
      <c r="Y30" s="10">
        <f>IF(A30="","",IF(COUNT(P30,R30:S30,U30:X30)&lt;7,"待补充",IF(MIN(P30,R30:S30,U30:X30)&lt;0,"检查输入",ROUND(P30-SUM(R30:S30)-SUM(U30:X30),4))))</f>
        <v/>
      </c>
      <c r="AF30" s="9">
        <f>IF(A30="","",IF(COUNTIF($A$2:$A$301,A30)&gt;1,"归因记录ID重复",IF(OR(B30="",C30="",D30="",H30="",COUNT(E30:G30)&lt;3,I30="",Z30=""),"待补归因/证据/日期",IF(F30&lt;E30,"窗口起止错误",IF(COUNTIF('达人线索与合作'!$B$2:$B$301,B30)&lt;&gt;1,"合作ID未唯一匹配",IF(COUNTIFS($B$2:$B$301,B30,$C$2:$C$301,C30,$D$2:$D$301,D30,$E$2:$E$301,E30,$F$2:$F$301,F30)&gt;1,"窗口重复：应更新原行",IF(AND(AD30="是",COUNTIFS($B$2:$B$301,B30,$C$2:$C$301,C30,$D$2:$D$301,D30,$AD$2:$AD$301,"是")&gt;1),"重复汇总：同视频SKU仅选一行",IF(AND(AC30="已复盘",AD30="是",ISNUMBER(Y30),AE30&lt;&gt;""),"可汇总","观察中/未完成结算核对"))))))))</f>
        <v/>
      </c>
      <c r="AG30" s="9">
        <f>IF(C30="","",IF(OR(H30="",I30=""),"待补充",IF(COUNTIFS($C$2:$C$301,C30,$H$2:$H$301,H30,$I$2:$I$301,I30)&lt;&gt;COUNTIF($C$2:$C$301,C30),"请统一日期/负责人",IF(COUNTIF($C$2:C30,C30)=1,1,0))))</f>
        <v/>
      </c>
    </row>
    <row r="31" spans="25:33" ht="34" customHeight="1">
      <c r="Y31" s="10">
        <f>IF(A31="","",IF(COUNT(P31,R31:S31,U31:X31)&lt;7,"待补充",IF(MIN(P31,R31:S31,U31:X31)&lt;0,"检查输入",ROUND(P31-SUM(R31:S31)-SUM(U31:X31),4))))</f>
        <v/>
      </c>
      <c r="AF31" s="9">
        <f>IF(A31="","",IF(COUNTIF($A$2:$A$301,A31)&gt;1,"归因记录ID重复",IF(OR(B31="",C31="",D31="",H31="",COUNT(E31:G31)&lt;3,I31="",Z31=""),"待补归因/证据/日期",IF(F31&lt;E31,"窗口起止错误",IF(COUNTIF('达人线索与合作'!$B$2:$B$301,B31)&lt;&gt;1,"合作ID未唯一匹配",IF(COUNTIFS($B$2:$B$301,B31,$C$2:$C$301,C31,$D$2:$D$301,D31,$E$2:$E$301,E31,$F$2:$F$301,F31)&gt;1,"窗口重复：应更新原行",IF(AND(AD31="是",COUNTIFS($B$2:$B$301,B31,$C$2:$C$301,C31,$D$2:$D$301,D31,$AD$2:$AD$301,"是")&gt;1),"重复汇总：同视频SKU仅选一行",IF(AND(AC31="已复盘",AD31="是",ISNUMBER(Y31),AE31&lt;&gt;""),"可汇总","观察中/未完成结算核对"))))))))</f>
        <v/>
      </c>
      <c r="AG31" s="9">
        <f>IF(C31="","",IF(OR(H31="",I31=""),"待补充",IF(COUNTIFS($C$2:$C$301,C31,$H$2:$H$301,H31,$I$2:$I$301,I31)&lt;&gt;COUNTIF($C$2:$C$301,C31),"请统一日期/负责人",IF(COUNTIF($C$2:C31,C31)=1,1,0))))</f>
        <v/>
      </c>
    </row>
    <row r="32" spans="25:33" ht="34" customHeight="1">
      <c r="Y32" s="10">
        <f>IF(A32="","",IF(COUNT(P32,R32:S32,U32:X32)&lt;7,"待补充",IF(MIN(P32,R32:S32,U32:X32)&lt;0,"检查输入",ROUND(P32-SUM(R32:S32)-SUM(U32:X32),4))))</f>
        <v/>
      </c>
      <c r="AF32" s="9">
        <f>IF(A32="","",IF(COUNTIF($A$2:$A$301,A32)&gt;1,"归因记录ID重复",IF(OR(B32="",C32="",D32="",H32="",COUNT(E32:G32)&lt;3,I32="",Z32=""),"待补归因/证据/日期",IF(F32&lt;E32,"窗口起止错误",IF(COUNTIF('达人线索与合作'!$B$2:$B$301,B32)&lt;&gt;1,"合作ID未唯一匹配",IF(COUNTIFS($B$2:$B$301,B32,$C$2:$C$301,C32,$D$2:$D$301,D32,$E$2:$E$301,E32,$F$2:$F$301,F32)&gt;1,"窗口重复：应更新原行",IF(AND(AD32="是",COUNTIFS($B$2:$B$301,B32,$C$2:$C$301,C32,$D$2:$D$301,D32,$AD$2:$AD$301,"是")&gt;1),"重复汇总：同视频SKU仅选一行",IF(AND(AC32="已复盘",AD32="是",ISNUMBER(Y32),AE32&lt;&gt;""),"可汇总","观察中/未完成结算核对"))))))))</f>
        <v/>
      </c>
      <c r="AG32" s="9">
        <f>IF(C32="","",IF(OR(H32="",I32=""),"待补充",IF(COUNTIFS($C$2:$C$301,C32,$H$2:$H$301,H32,$I$2:$I$301,I32)&lt;&gt;COUNTIF($C$2:$C$301,C32),"请统一日期/负责人",IF(COUNTIF($C$2:C32,C32)=1,1,0))))</f>
        <v/>
      </c>
    </row>
    <row r="33" spans="25:33" ht="34" customHeight="1">
      <c r="Y33" s="10">
        <f>IF(A33="","",IF(COUNT(P33,R33:S33,U33:X33)&lt;7,"待补充",IF(MIN(P33,R33:S33,U33:X33)&lt;0,"检查输入",ROUND(P33-SUM(R33:S33)-SUM(U33:X33),4))))</f>
        <v/>
      </c>
      <c r="AF33" s="9">
        <f>IF(A33="","",IF(COUNTIF($A$2:$A$301,A33)&gt;1,"归因记录ID重复",IF(OR(B33="",C33="",D33="",H33="",COUNT(E33:G33)&lt;3,I33="",Z33=""),"待补归因/证据/日期",IF(F33&lt;E33,"窗口起止错误",IF(COUNTIF('达人线索与合作'!$B$2:$B$301,B33)&lt;&gt;1,"合作ID未唯一匹配",IF(COUNTIFS($B$2:$B$301,B33,$C$2:$C$301,C33,$D$2:$D$301,D33,$E$2:$E$301,E33,$F$2:$F$301,F33)&gt;1,"窗口重复：应更新原行",IF(AND(AD33="是",COUNTIFS($B$2:$B$301,B33,$C$2:$C$301,C33,$D$2:$D$301,D33,$AD$2:$AD$301,"是")&gt;1),"重复汇总：同视频SKU仅选一行",IF(AND(AC33="已复盘",AD33="是",ISNUMBER(Y33),AE33&lt;&gt;""),"可汇总","观察中/未完成结算核对"))))))))</f>
        <v/>
      </c>
      <c r="AG33" s="9">
        <f>IF(C33="","",IF(OR(H33="",I33=""),"待补充",IF(COUNTIFS($C$2:$C$301,C33,$H$2:$H$301,H33,$I$2:$I$301,I33)&lt;&gt;COUNTIF($C$2:$C$301,C33),"请统一日期/负责人",IF(COUNTIF($C$2:C33,C33)=1,1,0))))</f>
        <v/>
      </c>
    </row>
    <row r="34" spans="25:33" ht="34" customHeight="1">
      <c r="Y34" s="10">
        <f>IF(A34="","",IF(COUNT(P34,R34:S34,U34:X34)&lt;7,"待补充",IF(MIN(P34,R34:S34,U34:X34)&lt;0,"检查输入",ROUND(P34-SUM(R34:S34)-SUM(U34:X34),4))))</f>
        <v/>
      </c>
      <c r="AF34" s="9">
        <f>IF(A34="","",IF(COUNTIF($A$2:$A$301,A34)&gt;1,"归因记录ID重复",IF(OR(B34="",C34="",D34="",H34="",COUNT(E34:G34)&lt;3,I34="",Z34=""),"待补归因/证据/日期",IF(F34&lt;E34,"窗口起止错误",IF(COUNTIF('达人线索与合作'!$B$2:$B$301,B34)&lt;&gt;1,"合作ID未唯一匹配",IF(COUNTIFS($B$2:$B$301,B34,$C$2:$C$301,C34,$D$2:$D$301,D34,$E$2:$E$301,E34,$F$2:$F$301,F34)&gt;1,"窗口重复：应更新原行",IF(AND(AD34="是",COUNTIFS($B$2:$B$301,B34,$C$2:$C$301,C34,$D$2:$D$301,D34,$AD$2:$AD$301,"是")&gt;1),"重复汇总：同视频SKU仅选一行",IF(AND(AC34="已复盘",AD34="是",ISNUMBER(Y34),AE34&lt;&gt;""),"可汇总","观察中/未完成结算核对"))))))))</f>
        <v/>
      </c>
      <c r="AG34" s="9">
        <f>IF(C34="","",IF(OR(H34="",I34=""),"待补充",IF(COUNTIFS($C$2:$C$301,C34,$H$2:$H$301,H34,$I$2:$I$301,I34)&lt;&gt;COUNTIF($C$2:$C$301,C34),"请统一日期/负责人",IF(COUNTIF($C$2:C34,C34)=1,1,0))))</f>
        <v/>
      </c>
    </row>
    <row r="35" spans="25:33" ht="34" customHeight="1">
      <c r="Y35" s="10">
        <f>IF(A35="","",IF(COUNT(P35,R35:S35,U35:X35)&lt;7,"待补充",IF(MIN(P35,R35:S35,U35:X35)&lt;0,"检查输入",ROUND(P35-SUM(R35:S35)-SUM(U35:X35),4))))</f>
        <v/>
      </c>
      <c r="AF35" s="9">
        <f>IF(A35="","",IF(COUNTIF($A$2:$A$301,A35)&gt;1,"归因记录ID重复",IF(OR(B35="",C35="",D35="",H35="",COUNT(E35:G35)&lt;3,I35="",Z35=""),"待补归因/证据/日期",IF(F35&lt;E35,"窗口起止错误",IF(COUNTIF('达人线索与合作'!$B$2:$B$301,B35)&lt;&gt;1,"合作ID未唯一匹配",IF(COUNTIFS($B$2:$B$301,B35,$C$2:$C$301,C35,$D$2:$D$301,D35,$E$2:$E$301,E35,$F$2:$F$301,F35)&gt;1,"窗口重复：应更新原行",IF(AND(AD35="是",COUNTIFS($B$2:$B$301,B35,$C$2:$C$301,C35,$D$2:$D$301,D35,$AD$2:$AD$301,"是")&gt;1),"重复汇总：同视频SKU仅选一行",IF(AND(AC35="已复盘",AD35="是",ISNUMBER(Y35),AE35&lt;&gt;""),"可汇总","观察中/未完成结算核对"))))))))</f>
        <v/>
      </c>
      <c r="AG35" s="9">
        <f>IF(C35="","",IF(OR(H35="",I35=""),"待补充",IF(COUNTIFS($C$2:$C$301,C35,$H$2:$H$301,H35,$I$2:$I$301,I35)&lt;&gt;COUNTIF($C$2:$C$301,C35),"请统一日期/负责人",IF(COUNTIF($C$2:C35,C35)=1,1,0))))</f>
        <v/>
      </c>
    </row>
    <row r="36" spans="25:33" ht="34" customHeight="1">
      <c r="Y36" s="10">
        <f>IF(A36="","",IF(COUNT(P36,R36:S36,U36:X36)&lt;7,"待补充",IF(MIN(P36,R36:S36,U36:X36)&lt;0,"检查输入",ROUND(P36-SUM(R36:S36)-SUM(U36:X36),4))))</f>
        <v/>
      </c>
      <c r="AF36" s="9">
        <f>IF(A36="","",IF(COUNTIF($A$2:$A$301,A36)&gt;1,"归因记录ID重复",IF(OR(B36="",C36="",D36="",H36="",COUNT(E36:G36)&lt;3,I36="",Z36=""),"待补归因/证据/日期",IF(F36&lt;E36,"窗口起止错误",IF(COUNTIF('达人线索与合作'!$B$2:$B$301,B36)&lt;&gt;1,"合作ID未唯一匹配",IF(COUNTIFS($B$2:$B$301,B36,$C$2:$C$301,C36,$D$2:$D$301,D36,$E$2:$E$301,E36,$F$2:$F$301,F36)&gt;1,"窗口重复：应更新原行",IF(AND(AD36="是",COUNTIFS($B$2:$B$301,B36,$C$2:$C$301,C36,$D$2:$D$301,D36,$AD$2:$AD$301,"是")&gt;1),"重复汇总：同视频SKU仅选一行",IF(AND(AC36="已复盘",AD36="是",ISNUMBER(Y36),AE36&lt;&gt;""),"可汇总","观察中/未完成结算核对"))))))))</f>
        <v/>
      </c>
      <c r="AG36" s="9">
        <f>IF(C36="","",IF(OR(H36="",I36=""),"待补充",IF(COUNTIFS($C$2:$C$301,C36,$H$2:$H$301,H36,$I$2:$I$301,I36)&lt;&gt;COUNTIF($C$2:$C$301,C36),"请统一日期/负责人",IF(COUNTIF($C$2:C36,C36)=1,1,0))))</f>
        <v/>
      </c>
    </row>
    <row r="37" spans="25:33" ht="34" customHeight="1">
      <c r="Y37" s="10">
        <f>IF(A37="","",IF(COUNT(P37,R37:S37,U37:X37)&lt;7,"待补充",IF(MIN(P37,R37:S37,U37:X37)&lt;0,"检查输入",ROUND(P37-SUM(R37:S37)-SUM(U37:X37),4))))</f>
        <v/>
      </c>
      <c r="AF37" s="9">
        <f>IF(A37="","",IF(COUNTIF($A$2:$A$301,A37)&gt;1,"归因记录ID重复",IF(OR(B37="",C37="",D37="",H37="",COUNT(E37:G37)&lt;3,I37="",Z37=""),"待补归因/证据/日期",IF(F37&lt;E37,"窗口起止错误",IF(COUNTIF('达人线索与合作'!$B$2:$B$301,B37)&lt;&gt;1,"合作ID未唯一匹配",IF(COUNTIFS($B$2:$B$301,B37,$C$2:$C$301,C37,$D$2:$D$301,D37,$E$2:$E$301,E37,$F$2:$F$301,F37)&gt;1,"窗口重复：应更新原行",IF(AND(AD37="是",COUNTIFS($B$2:$B$301,B37,$C$2:$C$301,C37,$D$2:$D$301,D37,$AD$2:$AD$301,"是")&gt;1),"重复汇总：同视频SKU仅选一行",IF(AND(AC37="已复盘",AD37="是",ISNUMBER(Y37),AE37&lt;&gt;""),"可汇总","观察中/未完成结算核对"))))))))</f>
        <v/>
      </c>
      <c r="AG37" s="9">
        <f>IF(C37="","",IF(OR(H37="",I37=""),"待补充",IF(COUNTIFS($C$2:$C$301,C37,$H$2:$H$301,H37,$I$2:$I$301,I37)&lt;&gt;COUNTIF($C$2:$C$301,C37),"请统一日期/负责人",IF(COUNTIF($C$2:C37,C37)=1,1,0))))</f>
        <v/>
      </c>
    </row>
    <row r="38" spans="25:33" ht="34" customHeight="1">
      <c r="Y38" s="10">
        <f>IF(A38="","",IF(COUNT(P38,R38:S38,U38:X38)&lt;7,"待补充",IF(MIN(P38,R38:S38,U38:X38)&lt;0,"检查输入",ROUND(P38-SUM(R38:S38)-SUM(U38:X38),4))))</f>
        <v/>
      </c>
      <c r="AF38" s="9">
        <f>IF(A38="","",IF(COUNTIF($A$2:$A$301,A38)&gt;1,"归因记录ID重复",IF(OR(B38="",C38="",D38="",H38="",COUNT(E38:G38)&lt;3,I38="",Z38=""),"待补归因/证据/日期",IF(F38&lt;E38,"窗口起止错误",IF(COUNTIF('达人线索与合作'!$B$2:$B$301,B38)&lt;&gt;1,"合作ID未唯一匹配",IF(COUNTIFS($B$2:$B$301,B38,$C$2:$C$301,C38,$D$2:$D$301,D38,$E$2:$E$301,E38,$F$2:$F$301,F38)&gt;1,"窗口重复：应更新原行",IF(AND(AD38="是",COUNTIFS($B$2:$B$301,B38,$C$2:$C$301,C38,$D$2:$D$301,D38,$AD$2:$AD$301,"是")&gt;1),"重复汇总：同视频SKU仅选一行",IF(AND(AC38="已复盘",AD38="是",ISNUMBER(Y38),AE38&lt;&gt;""),"可汇总","观察中/未完成结算核对"))))))))</f>
        <v/>
      </c>
      <c r="AG38" s="9">
        <f>IF(C38="","",IF(OR(H38="",I38=""),"待补充",IF(COUNTIFS($C$2:$C$301,C38,$H$2:$H$301,H38,$I$2:$I$301,I38)&lt;&gt;COUNTIF($C$2:$C$301,C38),"请统一日期/负责人",IF(COUNTIF($C$2:C38,C38)=1,1,0))))</f>
        <v/>
      </c>
    </row>
    <row r="39" spans="25:33" ht="34" customHeight="1">
      <c r="Y39" s="10">
        <f>IF(A39="","",IF(COUNT(P39,R39:S39,U39:X39)&lt;7,"待补充",IF(MIN(P39,R39:S39,U39:X39)&lt;0,"检查输入",ROUND(P39-SUM(R39:S39)-SUM(U39:X39),4))))</f>
        <v/>
      </c>
      <c r="AF39" s="9">
        <f>IF(A39="","",IF(COUNTIF($A$2:$A$301,A39)&gt;1,"归因记录ID重复",IF(OR(B39="",C39="",D39="",H39="",COUNT(E39:G39)&lt;3,I39="",Z39=""),"待补归因/证据/日期",IF(F39&lt;E39,"窗口起止错误",IF(COUNTIF('达人线索与合作'!$B$2:$B$301,B39)&lt;&gt;1,"合作ID未唯一匹配",IF(COUNTIFS($B$2:$B$301,B39,$C$2:$C$301,C39,$D$2:$D$301,D39,$E$2:$E$301,E39,$F$2:$F$301,F39)&gt;1,"窗口重复：应更新原行",IF(AND(AD39="是",COUNTIFS($B$2:$B$301,B39,$C$2:$C$301,C39,$D$2:$D$301,D39,$AD$2:$AD$301,"是")&gt;1),"重复汇总：同视频SKU仅选一行",IF(AND(AC39="已复盘",AD39="是",ISNUMBER(Y39),AE39&lt;&gt;""),"可汇总","观察中/未完成结算核对"))))))))</f>
        <v/>
      </c>
      <c r="AG39" s="9">
        <f>IF(C39="","",IF(OR(H39="",I39=""),"待补充",IF(COUNTIFS($C$2:$C$301,C39,$H$2:$H$301,H39,$I$2:$I$301,I39)&lt;&gt;COUNTIF($C$2:$C$301,C39),"请统一日期/负责人",IF(COUNTIF($C$2:C39,C39)=1,1,0))))</f>
        <v/>
      </c>
    </row>
    <row r="40" spans="25:33" ht="34" customHeight="1">
      <c r="Y40" s="10">
        <f>IF(A40="","",IF(COUNT(P40,R40:S40,U40:X40)&lt;7,"待补充",IF(MIN(P40,R40:S40,U40:X40)&lt;0,"检查输入",ROUND(P40-SUM(R40:S40)-SUM(U40:X40),4))))</f>
        <v/>
      </c>
      <c r="AF40" s="9">
        <f>IF(A40="","",IF(COUNTIF($A$2:$A$301,A40)&gt;1,"归因记录ID重复",IF(OR(B40="",C40="",D40="",H40="",COUNT(E40:G40)&lt;3,I40="",Z40=""),"待补归因/证据/日期",IF(F40&lt;E40,"窗口起止错误",IF(COUNTIF('达人线索与合作'!$B$2:$B$301,B40)&lt;&gt;1,"合作ID未唯一匹配",IF(COUNTIFS($B$2:$B$301,B40,$C$2:$C$301,C40,$D$2:$D$301,D40,$E$2:$E$301,E40,$F$2:$F$301,F40)&gt;1,"窗口重复：应更新原行",IF(AND(AD40="是",COUNTIFS($B$2:$B$301,B40,$C$2:$C$301,C40,$D$2:$D$301,D40,$AD$2:$AD$301,"是")&gt;1),"重复汇总：同视频SKU仅选一行",IF(AND(AC40="已复盘",AD40="是",ISNUMBER(Y40),AE40&lt;&gt;""),"可汇总","观察中/未完成结算核对"))))))))</f>
        <v/>
      </c>
      <c r="AG40" s="9">
        <f>IF(C40="","",IF(OR(H40="",I40=""),"待补充",IF(COUNTIFS($C$2:$C$301,C40,$H$2:$H$301,H40,$I$2:$I$301,I40)&lt;&gt;COUNTIF($C$2:$C$301,C40),"请统一日期/负责人",IF(COUNTIF($C$2:C40,C40)=1,1,0))))</f>
        <v/>
      </c>
    </row>
    <row r="41" spans="25:33" ht="34" customHeight="1">
      <c r="Y41" s="10">
        <f>IF(A41="","",IF(COUNT(P41,R41:S41,U41:X41)&lt;7,"待补充",IF(MIN(P41,R41:S41,U41:X41)&lt;0,"检查输入",ROUND(P41-SUM(R41:S41)-SUM(U41:X41),4))))</f>
        <v/>
      </c>
      <c r="AF41" s="9">
        <f>IF(A41="","",IF(COUNTIF($A$2:$A$301,A41)&gt;1,"归因记录ID重复",IF(OR(B41="",C41="",D41="",H41="",COUNT(E41:G41)&lt;3,I41="",Z41=""),"待补归因/证据/日期",IF(F41&lt;E41,"窗口起止错误",IF(COUNTIF('达人线索与合作'!$B$2:$B$301,B41)&lt;&gt;1,"合作ID未唯一匹配",IF(COUNTIFS($B$2:$B$301,B41,$C$2:$C$301,C41,$D$2:$D$301,D41,$E$2:$E$301,E41,$F$2:$F$301,F41)&gt;1,"窗口重复：应更新原行",IF(AND(AD41="是",COUNTIFS($B$2:$B$301,B41,$C$2:$C$301,C41,$D$2:$D$301,D41,$AD$2:$AD$301,"是")&gt;1),"重复汇总：同视频SKU仅选一行",IF(AND(AC41="已复盘",AD41="是",ISNUMBER(Y41),AE41&lt;&gt;""),"可汇总","观察中/未完成结算核对"))))))))</f>
        <v/>
      </c>
      <c r="AG41" s="9">
        <f>IF(C41="","",IF(OR(H41="",I41=""),"待补充",IF(COUNTIFS($C$2:$C$301,C41,$H$2:$H$301,H41,$I$2:$I$301,I41)&lt;&gt;COUNTIF($C$2:$C$301,C41),"请统一日期/负责人",IF(COUNTIF($C$2:C41,C41)=1,1,0))))</f>
        <v/>
      </c>
    </row>
    <row r="42" spans="25:33" ht="34" customHeight="1">
      <c r="Y42" s="10">
        <f>IF(A42="","",IF(COUNT(P42,R42:S42,U42:X42)&lt;7,"待补充",IF(MIN(P42,R42:S42,U42:X42)&lt;0,"检查输入",ROUND(P42-SUM(R42:S42)-SUM(U42:X42),4))))</f>
        <v/>
      </c>
      <c r="AF42" s="9">
        <f>IF(A42="","",IF(COUNTIF($A$2:$A$301,A42)&gt;1,"归因记录ID重复",IF(OR(B42="",C42="",D42="",H42="",COUNT(E42:G42)&lt;3,I42="",Z42=""),"待补归因/证据/日期",IF(F42&lt;E42,"窗口起止错误",IF(COUNTIF('达人线索与合作'!$B$2:$B$301,B42)&lt;&gt;1,"合作ID未唯一匹配",IF(COUNTIFS($B$2:$B$301,B42,$C$2:$C$301,C42,$D$2:$D$301,D42,$E$2:$E$301,E42,$F$2:$F$301,F42)&gt;1,"窗口重复：应更新原行",IF(AND(AD42="是",COUNTIFS($B$2:$B$301,B42,$C$2:$C$301,C42,$D$2:$D$301,D42,$AD$2:$AD$301,"是")&gt;1),"重复汇总：同视频SKU仅选一行",IF(AND(AC42="已复盘",AD42="是",ISNUMBER(Y42),AE42&lt;&gt;""),"可汇总","观察中/未完成结算核对"))))))))</f>
        <v/>
      </c>
      <c r="AG42" s="9">
        <f>IF(C42="","",IF(OR(H42="",I42=""),"待补充",IF(COUNTIFS($C$2:$C$301,C42,$H$2:$H$301,H42,$I$2:$I$301,I42)&lt;&gt;COUNTIF($C$2:$C$301,C42),"请统一日期/负责人",IF(COUNTIF($C$2:C42,C42)=1,1,0))))</f>
        <v/>
      </c>
    </row>
    <row r="43" spans="25:33" ht="34" customHeight="1">
      <c r="Y43" s="10">
        <f>IF(A43="","",IF(COUNT(P43,R43:S43,U43:X43)&lt;7,"待补充",IF(MIN(P43,R43:S43,U43:X43)&lt;0,"检查输入",ROUND(P43-SUM(R43:S43)-SUM(U43:X43),4))))</f>
        <v/>
      </c>
      <c r="AF43" s="9">
        <f>IF(A43="","",IF(COUNTIF($A$2:$A$301,A43)&gt;1,"归因记录ID重复",IF(OR(B43="",C43="",D43="",H43="",COUNT(E43:G43)&lt;3,I43="",Z43=""),"待补归因/证据/日期",IF(F43&lt;E43,"窗口起止错误",IF(COUNTIF('达人线索与合作'!$B$2:$B$301,B43)&lt;&gt;1,"合作ID未唯一匹配",IF(COUNTIFS($B$2:$B$301,B43,$C$2:$C$301,C43,$D$2:$D$301,D43,$E$2:$E$301,E43,$F$2:$F$301,F43)&gt;1,"窗口重复：应更新原行",IF(AND(AD43="是",COUNTIFS($B$2:$B$301,B43,$C$2:$C$301,C43,$D$2:$D$301,D43,$AD$2:$AD$301,"是")&gt;1),"重复汇总：同视频SKU仅选一行",IF(AND(AC43="已复盘",AD43="是",ISNUMBER(Y43),AE43&lt;&gt;""),"可汇总","观察中/未完成结算核对"))))))))</f>
        <v/>
      </c>
      <c r="AG43" s="9">
        <f>IF(C43="","",IF(OR(H43="",I43=""),"待补充",IF(COUNTIFS($C$2:$C$301,C43,$H$2:$H$301,H43,$I$2:$I$301,I43)&lt;&gt;COUNTIF($C$2:$C$301,C43),"请统一日期/负责人",IF(COUNTIF($C$2:C43,C43)=1,1,0))))</f>
        <v/>
      </c>
    </row>
    <row r="44" spans="25:33" ht="34" customHeight="1">
      <c r="Y44" s="10">
        <f>IF(A44="","",IF(COUNT(P44,R44:S44,U44:X44)&lt;7,"待补充",IF(MIN(P44,R44:S44,U44:X44)&lt;0,"检查输入",ROUND(P44-SUM(R44:S44)-SUM(U44:X44),4))))</f>
        <v/>
      </c>
      <c r="AF44" s="9">
        <f>IF(A44="","",IF(COUNTIF($A$2:$A$301,A44)&gt;1,"归因记录ID重复",IF(OR(B44="",C44="",D44="",H44="",COUNT(E44:G44)&lt;3,I44="",Z44=""),"待补归因/证据/日期",IF(F44&lt;E44,"窗口起止错误",IF(COUNTIF('达人线索与合作'!$B$2:$B$301,B44)&lt;&gt;1,"合作ID未唯一匹配",IF(COUNTIFS($B$2:$B$301,B44,$C$2:$C$301,C44,$D$2:$D$301,D44,$E$2:$E$301,E44,$F$2:$F$301,F44)&gt;1,"窗口重复：应更新原行",IF(AND(AD44="是",COUNTIFS($B$2:$B$301,B44,$C$2:$C$301,C44,$D$2:$D$301,D44,$AD$2:$AD$301,"是")&gt;1),"重复汇总：同视频SKU仅选一行",IF(AND(AC44="已复盘",AD44="是",ISNUMBER(Y44),AE44&lt;&gt;""),"可汇总","观察中/未完成结算核对"))))))))</f>
        <v/>
      </c>
      <c r="AG44" s="9">
        <f>IF(C44="","",IF(OR(H44="",I44=""),"待补充",IF(COUNTIFS($C$2:$C$301,C44,$H$2:$H$301,H44,$I$2:$I$301,I44)&lt;&gt;COUNTIF($C$2:$C$301,C44),"请统一日期/负责人",IF(COUNTIF($C$2:C44,C44)=1,1,0))))</f>
        <v/>
      </c>
    </row>
    <row r="45" spans="25:33" ht="34" customHeight="1">
      <c r="Y45" s="10">
        <f>IF(A45="","",IF(COUNT(P45,R45:S45,U45:X45)&lt;7,"待补充",IF(MIN(P45,R45:S45,U45:X45)&lt;0,"检查输入",ROUND(P45-SUM(R45:S45)-SUM(U45:X45),4))))</f>
        <v/>
      </c>
      <c r="AF45" s="9">
        <f>IF(A45="","",IF(COUNTIF($A$2:$A$301,A45)&gt;1,"归因记录ID重复",IF(OR(B45="",C45="",D45="",H45="",COUNT(E45:G45)&lt;3,I45="",Z45=""),"待补归因/证据/日期",IF(F45&lt;E45,"窗口起止错误",IF(COUNTIF('达人线索与合作'!$B$2:$B$301,B45)&lt;&gt;1,"合作ID未唯一匹配",IF(COUNTIFS($B$2:$B$301,B45,$C$2:$C$301,C45,$D$2:$D$301,D45,$E$2:$E$301,E45,$F$2:$F$301,F45)&gt;1,"窗口重复：应更新原行",IF(AND(AD45="是",COUNTIFS($B$2:$B$301,B45,$C$2:$C$301,C45,$D$2:$D$301,D45,$AD$2:$AD$301,"是")&gt;1),"重复汇总：同视频SKU仅选一行",IF(AND(AC45="已复盘",AD45="是",ISNUMBER(Y45),AE45&lt;&gt;""),"可汇总","观察中/未完成结算核对"))))))))</f>
        <v/>
      </c>
      <c r="AG45" s="9">
        <f>IF(C45="","",IF(OR(H45="",I45=""),"待补充",IF(COUNTIFS($C$2:$C$301,C45,$H$2:$H$301,H45,$I$2:$I$301,I45)&lt;&gt;COUNTIF($C$2:$C$301,C45),"请统一日期/负责人",IF(COUNTIF($C$2:C45,C45)=1,1,0))))</f>
        <v/>
      </c>
    </row>
    <row r="46" spans="25:33" ht="34" customHeight="1">
      <c r="Y46" s="10">
        <f>IF(A46="","",IF(COUNT(P46,R46:S46,U46:X46)&lt;7,"待补充",IF(MIN(P46,R46:S46,U46:X46)&lt;0,"检查输入",ROUND(P46-SUM(R46:S46)-SUM(U46:X46),4))))</f>
        <v/>
      </c>
      <c r="AF46" s="9">
        <f>IF(A46="","",IF(COUNTIF($A$2:$A$301,A46)&gt;1,"归因记录ID重复",IF(OR(B46="",C46="",D46="",H46="",COUNT(E46:G46)&lt;3,I46="",Z46=""),"待补归因/证据/日期",IF(F46&lt;E46,"窗口起止错误",IF(COUNTIF('达人线索与合作'!$B$2:$B$301,B46)&lt;&gt;1,"合作ID未唯一匹配",IF(COUNTIFS($B$2:$B$301,B46,$C$2:$C$301,C46,$D$2:$D$301,D46,$E$2:$E$301,E46,$F$2:$F$301,F46)&gt;1,"窗口重复：应更新原行",IF(AND(AD46="是",COUNTIFS($B$2:$B$301,B46,$C$2:$C$301,C46,$D$2:$D$301,D46,$AD$2:$AD$301,"是")&gt;1),"重复汇总：同视频SKU仅选一行",IF(AND(AC46="已复盘",AD46="是",ISNUMBER(Y46),AE46&lt;&gt;""),"可汇总","观察中/未完成结算核对"))))))))</f>
        <v/>
      </c>
      <c r="AG46" s="9">
        <f>IF(C46="","",IF(OR(H46="",I46=""),"待补充",IF(COUNTIFS($C$2:$C$301,C46,$H$2:$H$301,H46,$I$2:$I$301,I46)&lt;&gt;COUNTIF($C$2:$C$301,C46),"请统一日期/负责人",IF(COUNTIF($C$2:C46,C46)=1,1,0))))</f>
        <v/>
      </c>
    </row>
    <row r="47" spans="25:33" ht="34" customHeight="1">
      <c r="Y47" s="10">
        <f>IF(A47="","",IF(COUNT(P47,R47:S47,U47:X47)&lt;7,"待补充",IF(MIN(P47,R47:S47,U47:X47)&lt;0,"检查输入",ROUND(P47-SUM(R47:S47)-SUM(U47:X47),4))))</f>
        <v/>
      </c>
      <c r="AF47" s="9">
        <f>IF(A47="","",IF(COUNTIF($A$2:$A$301,A47)&gt;1,"归因记录ID重复",IF(OR(B47="",C47="",D47="",H47="",COUNT(E47:G47)&lt;3,I47="",Z47=""),"待补归因/证据/日期",IF(F47&lt;E47,"窗口起止错误",IF(COUNTIF('达人线索与合作'!$B$2:$B$301,B47)&lt;&gt;1,"合作ID未唯一匹配",IF(COUNTIFS($B$2:$B$301,B47,$C$2:$C$301,C47,$D$2:$D$301,D47,$E$2:$E$301,E47,$F$2:$F$301,F47)&gt;1,"窗口重复：应更新原行",IF(AND(AD47="是",COUNTIFS($B$2:$B$301,B47,$C$2:$C$301,C47,$D$2:$D$301,D47,$AD$2:$AD$301,"是")&gt;1),"重复汇总：同视频SKU仅选一行",IF(AND(AC47="已复盘",AD47="是",ISNUMBER(Y47),AE47&lt;&gt;""),"可汇总","观察中/未完成结算核对"))))))))</f>
        <v/>
      </c>
      <c r="AG47" s="9">
        <f>IF(C47="","",IF(OR(H47="",I47=""),"待补充",IF(COUNTIFS($C$2:$C$301,C47,$H$2:$H$301,H47,$I$2:$I$301,I47)&lt;&gt;COUNTIF($C$2:$C$301,C47),"请统一日期/负责人",IF(COUNTIF($C$2:C47,C47)=1,1,0))))</f>
        <v/>
      </c>
    </row>
    <row r="48" spans="25:33" ht="34" customHeight="1">
      <c r="Y48" s="10">
        <f>IF(A48="","",IF(COUNT(P48,R48:S48,U48:X48)&lt;7,"待补充",IF(MIN(P48,R48:S48,U48:X48)&lt;0,"检查输入",ROUND(P48-SUM(R48:S48)-SUM(U48:X48),4))))</f>
        <v/>
      </c>
      <c r="AF48" s="9">
        <f>IF(A48="","",IF(COUNTIF($A$2:$A$301,A48)&gt;1,"归因记录ID重复",IF(OR(B48="",C48="",D48="",H48="",COUNT(E48:G48)&lt;3,I48="",Z48=""),"待补归因/证据/日期",IF(F48&lt;E48,"窗口起止错误",IF(COUNTIF('达人线索与合作'!$B$2:$B$301,B48)&lt;&gt;1,"合作ID未唯一匹配",IF(COUNTIFS($B$2:$B$301,B48,$C$2:$C$301,C48,$D$2:$D$301,D48,$E$2:$E$301,E48,$F$2:$F$301,F48)&gt;1,"窗口重复：应更新原行",IF(AND(AD48="是",COUNTIFS($B$2:$B$301,B48,$C$2:$C$301,C48,$D$2:$D$301,D48,$AD$2:$AD$301,"是")&gt;1),"重复汇总：同视频SKU仅选一行",IF(AND(AC48="已复盘",AD48="是",ISNUMBER(Y48),AE48&lt;&gt;""),"可汇总","观察中/未完成结算核对"))))))))</f>
        <v/>
      </c>
      <c r="AG48" s="9">
        <f>IF(C48="","",IF(OR(H48="",I48=""),"待补充",IF(COUNTIFS($C$2:$C$301,C48,$H$2:$H$301,H48,$I$2:$I$301,I48)&lt;&gt;COUNTIF($C$2:$C$301,C48),"请统一日期/负责人",IF(COUNTIF($C$2:C48,C48)=1,1,0))))</f>
        <v/>
      </c>
    </row>
    <row r="49" spans="25:33" ht="34" customHeight="1">
      <c r="Y49" s="10">
        <f>IF(A49="","",IF(COUNT(P49,R49:S49,U49:X49)&lt;7,"待补充",IF(MIN(P49,R49:S49,U49:X49)&lt;0,"检查输入",ROUND(P49-SUM(R49:S49)-SUM(U49:X49),4))))</f>
        <v/>
      </c>
      <c r="AF49" s="9">
        <f>IF(A49="","",IF(COUNTIF($A$2:$A$301,A49)&gt;1,"归因记录ID重复",IF(OR(B49="",C49="",D49="",H49="",COUNT(E49:G49)&lt;3,I49="",Z49=""),"待补归因/证据/日期",IF(F49&lt;E49,"窗口起止错误",IF(COUNTIF('达人线索与合作'!$B$2:$B$301,B49)&lt;&gt;1,"合作ID未唯一匹配",IF(COUNTIFS($B$2:$B$301,B49,$C$2:$C$301,C49,$D$2:$D$301,D49,$E$2:$E$301,E49,$F$2:$F$301,F49)&gt;1,"窗口重复：应更新原行",IF(AND(AD49="是",COUNTIFS($B$2:$B$301,B49,$C$2:$C$301,C49,$D$2:$D$301,D49,$AD$2:$AD$301,"是")&gt;1),"重复汇总：同视频SKU仅选一行",IF(AND(AC49="已复盘",AD49="是",ISNUMBER(Y49),AE49&lt;&gt;""),"可汇总","观察中/未完成结算核对"))))))))</f>
        <v/>
      </c>
      <c r="AG49" s="9">
        <f>IF(C49="","",IF(OR(H49="",I49=""),"待补充",IF(COUNTIFS($C$2:$C$301,C49,$H$2:$H$301,H49,$I$2:$I$301,I49)&lt;&gt;COUNTIF($C$2:$C$301,C49),"请统一日期/负责人",IF(COUNTIF($C$2:C49,C49)=1,1,0))))</f>
        <v/>
      </c>
    </row>
    <row r="50" spans="25:33" ht="34" customHeight="1">
      <c r="Y50" s="10">
        <f>IF(A50="","",IF(COUNT(P50,R50:S50,U50:X50)&lt;7,"待补充",IF(MIN(P50,R50:S50,U50:X50)&lt;0,"检查输入",ROUND(P50-SUM(R50:S50)-SUM(U50:X50),4))))</f>
        <v/>
      </c>
      <c r="AF50" s="9">
        <f>IF(A50="","",IF(COUNTIF($A$2:$A$301,A50)&gt;1,"归因记录ID重复",IF(OR(B50="",C50="",D50="",H50="",COUNT(E50:G50)&lt;3,I50="",Z50=""),"待补归因/证据/日期",IF(F50&lt;E50,"窗口起止错误",IF(COUNTIF('达人线索与合作'!$B$2:$B$301,B50)&lt;&gt;1,"合作ID未唯一匹配",IF(COUNTIFS($B$2:$B$301,B50,$C$2:$C$301,C50,$D$2:$D$301,D50,$E$2:$E$301,E50,$F$2:$F$301,F50)&gt;1,"窗口重复：应更新原行",IF(AND(AD50="是",COUNTIFS($B$2:$B$301,B50,$C$2:$C$301,C50,$D$2:$D$301,D50,$AD$2:$AD$301,"是")&gt;1),"重复汇总：同视频SKU仅选一行",IF(AND(AC50="已复盘",AD50="是",ISNUMBER(Y50),AE50&lt;&gt;""),"可汇总","观察中/未完成结算核对"))))))))</f>
        <v/>
      </c>
      <c r="AG50" s="9">
        <f>IF(C50="","",IF(OR(H50="",I50=""),"待补充",IF(COUNTIFS($C$2:$C$301,C50,$H$2:$H$301,H50,$I$2:$I$301,I50)&lt;&gt;COUNTIF($C$2:$C$301,C50),"请统一日期/负责人",IF(COUNTIF($C$2:C50,C50)=1,1,0))))</f>
        <v/>
      </c>
    </row>
    <row r="51" spans="25:33" ht="34" customHeight="1">
      <c r="Y51" s="10">
        <f>IF(A51="","",IF(COUNT(P51,R51:S51,U51:X51)&lt;7,"待补充",IF(MIN(P51,R51:S51,U51:X51)&lt;0,"检查输入",ROUND(P51-SUM(R51:S51)-SUM(U51:X51),4))))</f>
        <v/>
      </c>
      <c r="AF51" s="9">
        <f>IF(A51="","",IF(COUNTIF($A$2:$A$301,A51)&gt;1,"归因记录ID重复",IF(OR(B51="",C51="",D51="",H51="",COUNT(E51:G51)&lt;3,I51="",Z51=""),"待补归因/证据/日期",IF(F51&lt;E51,"窗口起止错误",IF(COUNTIF('达人线索与合作'!$B$2:$B$301,B51)&lt;&gt;1,"合作ID未唯一匹配",IF(COUNTIFS($B$2:$B$301,B51,$C$2:$C$301,C51,$D$2:$D$301,D51,$E$2:$E$301,E51,$F$2:$F$301,F51)&gt;1,"窗口重复：应更新原行",IF(AND(AD51="是",COUNTIFS($B$2:$B$301,B51,$C$2:$C$301,C51,$D$2:$D$301,D51,$AD$2:$AD$301,"是")&gt;1),"重复汇总：同视频SKU仅选一行",IF(AND(AC51="已复盘",AD51="是",ISNUMBER(Y51),AE51&lt;&gt;""),"可汇总","观察中/未完成结算核对"))))))))</f>
        <v/>
      </c>
      <c r="AG51" s="9">
        <f>IF(C51="","",IF(OR(H51="",I51=""),"待补充",IF(COUNTIFS($C$2:$C$301,C51,$H$2:$H$301,H51,$I$2:$I$301,I51)&lt;&gt;COUNTIF($C$2:$C$301,C51),"请统一日期/负责人",IF(COUNTIF($C$2:C51,C51)=1,1,0))))</f>
        <v/>
      </c>
    </row>
    <row r="52" spans="25:33" ht="34" customHeight="1">
      <c r="Y52" s="10">
        <f>IF(A52="","",IF(COUNT(P52,R52:S52,U52:X52)&lt;7,"待补充",IF(MIN(P52,R52:S52,U52:X52)&lt;0,"检查输入",ROUND(P52-SUM(R52:S52)-SUM(U52:X52),4))))</f>
        <v/>
      </c>
      <c r="AF52" s="9">
        <f>IF(A52="","",IF(COUNTIF($A$2:$A$301,A52)&gt;1,"归因记录ID重复",IF(OR(B52="",C52="",D52="",H52="",COUNT(E52:G52)&lt;3,I52="",Z52=""),"待补归因/证据/日期",IF(F52&lt;E52,"窗口起止错误",IF(COUNTIF('达人线索与合作'!$B$2:$B$301,B52)&lt;&gt;1,"合作ID未唯一匹配",IF(COUNTIFS($B$2:$B$301,B52,$C$2:$C$301,C52,$D$2:$D$301,D52,$E$2:$E$301,E52,$F$2:$F$301,F52)&gt;1,"窗口重复：应更新原行",IF(AND(AD52="是",COUNTIFS($B$2:$B$301,B52,$C$2:$C$301,C52,$D$2:$D$301,D52,$AD$2:$AD$301,"是")&gt;1),"重复汇总：同视频SKU仅选一行",IF(AND(AC52="已复盘",AD52="是",ISNUMBER(Y52),AE52&lt;&gt;""),"可汇总","观察中/未完成结算核对"))))))))</f>
        <v/>
      </c>
      <c r="AG52" s="9">
        <f>IF(C52="","",IF(OR(H52="",I52=""),"待补充",IF(COUNTIFS($C$2:$C$301,C52,$H$2:$H$301,H52,$I$2:$I$301,I52)&lt;&gt;COUNTIF($C$2:$C$301,C52),"请统一日期/负责人",IF(COUNTIF($C$2:C52,C52)=1,1,0))))</f>
        <v/>
      </c>
    </row>
    <row r="53" spans="25:33" ht="34" customHeight="1">
      <c r="Y53" s="10">
        <f>IF(A53="","",IF(COUNT(P53,R53:S53,U53:X53)&lt;7,"待补充",IF(MIN(P53,R53:S53,U53:X53)&lt;0,"检查输入",ROUND(P53-SUM(R53:S53)-SUM(U53:X53),4))))</f>
        <v/>
      </c>
      <c r="AF53" s="9">
        <f>IF(A53="","",IF(COUNTIF($A$2:$A$301,A53)&gt;1,"归因记录ID重复",IF(OR(B53="",C53="",D53="",H53="",COUNT(E53:G53)&lt;3,I53="",Z53=""),"待补归因/证据/日期",IF(F53&lt;E53,"窗口起止错误",IF(COUNTIF('达人线索与合作'!$B$2:$B$301,B53)&lt;&gt;1,"合作ID未唯一匹配",IF(COUNTIFS($B$2:$B$301,B53,$C$2:$C$301,C53,$D$2:$D$301,D53,$E$2:$E$301,E53,$F$2:$F$301,F53)&gt;1,"窗口重复：应更新原行",IF(AND(AD53="是",COUNTIFS($B$2:$B$301,B53,$C$2:$C$301,C53,$D$2:$D$301,D53,$AD$2:$AD$301,"是")&gt;1),"重复汇总：同视频SKU仅选一行",IF(AND(AC53="已复盘",AD53="是",ISNUMBER(Y53),AE53&lt;&gt;""),"可汇总","观察中/未完成结算核对"))))))))</f>
        <v/>
      </c>
      <c r="AG53" s="9">
        <f>IF(C53="","",IF(OR(H53="",I53=""),"待补充",IF(COUNTIFS($C$2:$C$301,C53,$H$2:$H$301,H53,$I$2:$I$301,I53)&lt;&gt;COUNTIF($C$2:$C$301,C53),"请统一日期/负责人",IF(COUNTIF($C$2:C53,C53)=1,1,0))))</f>
        <v/>
      </c>
    </row>
    <row r="54" spans="25:33" ht="34" customHeight="1">
      <c r="Y54" s="10">
        <f>IF(A54="","",IF(COUNT(P54,R54:S54,U54:X54)&lt;7,"待补充",IF(MIN(P54,R54:S54,U54:X54)&lt;0,"检查输入",ROUND(P54-SUM(R54:S54)-SUM(U54:X54),4))))</f>
        <v/>
      </c>
      <c r="AF54" s="9">
        <f>IF(A54="","",IF(COUNTIF($A$2:$A$301,A54)&gt;1,"归因记录ID重复",IF(OR(B54="",C54="",D54="",H54="",COUNT(E54:G54)&lt;3,I54="",Z54=""),"待补归因/证据/日期",IF(F54&lt;E54,"窗口起止错误",IF(COUNTIF('达人线索与合作'!$B$2:$B$301,B54)&lt;&gt;1,"合作ID未唯一匹配",IF(COUNTIFS($B$2:$B$301,B54,$C$2:$C$301,C54,$D$2:$D$301,D54,$E$2:$E$301,E54,$F$2:$F$301,F54)&gt;1,"窗口重复：应更新原行",IF(AND(AD54="是",COUNTIFS($B$2:$B$301,B54,$C$2:$C$301,C54,$D$2:$D$301,D54,$AD$2:$AD$301,"是")&gt;1),"重复汇总：同视频SKU仅选一行",IF(AND(AC54="已复盘",AD54="是",ISNUMBER(Y54),AE54&lt;&gt;""),"可汇总","观察中/未完成结算核对"))))))))</f>
        <v/>
      </c>
      <c r="AG54" s="9">
        <f>IF(C54="","",IF(OR(H54="",I54=""),"待补充",IF(COUNTIFS($C$2:$C$301,C54,$H$2:$H$301,H54,$I$2:$I$301,I54)&lt;&gt;COUNTIF($C$2:$C$301,C54),"请统一日期/负责人",IF(COUNTIF($C$2:C54,C54)=1,1,0))))</f>
        <v/>
      </c>
    </row>
    <row r="55" spans="25:33" ht="34" customHeight="1">
      <c r="Y55" s="10">
        <f>IF(A55="","",IF(COUNT(P55,R55:S55,U55:X55)&lt;7,"待补充",IF(MIN(P55,R55:S55,U55:X55)&lt;0,"检查输入",ROUND(P55-SUM(R55:S55)-SUM(U55:X55),4))))</f>
        <v/>
      </c>
      <c r="AF55" s="9">
        <f>IF(A55="","",IF(COUNTIF($A$2:$A$301,A55)&gt;1,"归因记录ID重复",IF(OR(B55="",C55="",D55="",H55="",COUNT(E55:G55)&lt;3,I55="",Z55=""),"待补归因/证据/日期",IF(F55&lt;E55,"窗口起止错误",IF(COUNTIF('达人线索与合作'!$B$2:$B$301,B55)&lt;&gt;1,"合作ID未唯一匹配",IF(COUNTIFS($B$2:$B$301,B55,$C$2:$C$301,C55,$D$2:$D$301,D55,$E$2:$E$301,E55,$F$2:$F$301,F55)&gt;1,"窗口重复：应更新原行",IF(AND(AD55="是",COUNTIFS($B$2:$B$301,B55,$C$2:$C$301,C55,$D$2:$D$301,D55,$AD$2:$AD$301,"是")&gt;1),"重复汇总：同视频SKU仅选一行",IF(AND(AC55="已复盘",AD55="是",ISNUMBER(Y55),AE55&lt;&gt;""),"可汇总","观察中/未完成结算核对"))))))))</f>
        <v/>
      </c>
      <c r="AG55" s="9">
        <f>IF(C55="","",IF(OR(H55="",I55=""),"待补充",IF(COUNTIFS($C$2:$C$301,C55,$H$2:$H$301,H55,$I$2:$I$301,I55)&lt;&gt;COUNTIF($C$2:$C$301,C55),"请统一日期/负责人",IF(COUNTIF($C$2:C55,C55)=1,1,0))))</f>
        <v/>
      </c>
    </row>
    <row r="56" spans="25:33" ht="34" customHeight="1">
      <c r="Y56" s="10">
        <f>IF(A56="","",IF(COUNT(P56,R56:S56,U56:X56)&lt;7,"待补充",IF(MIN(P56,R56:S56,U56:X56)&lt;0,"检查输入",ROUND(P56-SUM(R56:S56)-SUM(U56:X56),4))))</f>
        <v/>
      </c>
      <c r="AF56" s="9">
        <f>IF(A56="","",IF(COUNTIF($A$2:$A$301,A56)&gt;1,"归因记录ID重复",IF(OR(B56="",C56="",D56="",H56="",COUNT(E56:G56)&lt;3,I56="",Z56=""),"待补归因/证据/日期",IF(F56&lt;E56,"窗口起止错误",IF(COUNTIF('达人线索与合作'!$B$2:$B$301,B56)&lt;&gt;1,"合作ID未唯一匹配",IF(COUNTIFS($B$2:$B$301,B56,$C$2:$C$301,C56,$D$2:$D$301,D56,$E$2:$E$301,E56,$F$2:$F$301,F56)&gt;1,"窗口重复：应更新原行",IF(AND(AD56="是",COUNTIFS($B$2:$B$301,B56,$C$2:$C$301,C56,$D$2:$D$301,D56,$AD$2:$AD$301,"是")&gt;1),"重复汇总：同视频SKU仅选一行",IF(AND(AC56="已复盘",AD56="是",ISNUMBER(Y56),AE56&lt;&gt;""),"可汇总","观察中/未完成结算核对"))))))))</f>
        <v/>
      </c>
      <c r="AG56" s="9">
        <f>IF(C56="","",IF(OR(H56="",I56=""),"待补充",IF(COUNTIFS($C$2:$C$301,C56,$H$2:$H$301,H56,$I$2:$I$301,I56)&lt;&gt;COUNTIF($C$2:$C$301,C56),"请统一日期/负责人",IF(COUNTIF($C$2:C56,C56)=1,1,0))))</f>
        <v/>
      </c>
    </row>
    <row r="57" spans="25:33" ht="34" customHeight="1">
      <c r="Y57" s="10">
        <f>IF(A57="","",IF(COUNT(P57,R57:S57,U57:X57)&lt;7,"待补充",IF(MIN(P57,R57:S57,U57:X57)&lt;0,"检查输入",ROUND(P57-SUM(R57:S57)-SUM(U57:X57),4))))</f>
        <v/>
      </c>
      <c r="AF57" s="9">
        <f>IF(A57="","",IF(COUNTIF($A$2:$A$301,A57)&gt;1,"归因记录ID重复",IF(OR(B57="",C57="",D57="",H57="",COUNT(E57:G57)&lt;3,I57="",Z57=""),"待补归因/证据/日期",IF(F57&lt;E57,"窗口起止错误",IF(COUNTIF('达人线索与合作'!$B$2:$B$301,B57)&lt;&gt;1,"合作ID未唯一匹配",IF(COUNTIFS($B$2:$B$301,B57,$C$2:$C$301,C57,$D$2:$D$301,D57,$E$2:$E$301,E57,$F$2:$F$301,F57)&gt;1,"窗口重复：应更新原行",IF(AND(AD57="是",COUNTIFS($B$2:$B$301,B57,$C$2:$C$301,C57,$D$2:$D$301,D57,$AD$2:$AD$301,"是")&gt;1),"重复汇总：同视频SKU仅选一行",IF(AND(AC57="已复盘",AD57="是",ISNUMBER(Y57),AE57&lt;&gt;""),"可汇总","观察中/未完成结算核对"))))))))</f>
        <v/>
      </c>
      <c r="AG57" s="9">
        <f>IF(C57="","",IF(OR(H57="",I57=""),"待补充",IF(COUNTIFS($C$2:$C$301,C57,$H$2:$H$301,H57,$I$2:$I$301,I57)&lt;&gt;COUNTIF($C$2:$C$301,C57),"请统一日期/负责人",IF(COUNTIF($C$2:C57,C57)=1,1,0))))</f>
        <v/>
      </c>
    </row>
    <row r="58" spans="25:33" ht="34" customHeight="1">
      <c r="Y58" s="10">
        <f>IF(A58="","",IF(COUNT(P58,R58:S58,U58:X58)&lt;7,"待补充",IF(MIN(P58,R58:S58,U58:X58)&lt;0,"检查输入",ROUND(P58-SUM(R58:S58)-SUM(U58:X58),4))))</f>
        <v/>
      </c>
      <c r="AF58" s="9">
        <f>IF(A58="","",IF(COUNTIF($A$2:$A$301,A58)&gt;1,"归因记录ID重复",IF(OR(B58="",C58="",D58="",H58="",COUNT(E58:G58)&lt;3,I58="",Z58=""),"待补归因/证据/日期",IF(F58&lt;E58,"窗口起止错误",IF(COUNTIF('达人线索与合作'!$B$2:$B$301,B58)&lt;&gt;1,"合作ID未唯一匹配",IF(COUNTIFS($B$2:$B$301,B58,$C$2:$C$301,C58,$D$2:$D$301,D58,$E$2:$E$301,E58,$F$2:$F$301,F58)&gt;1,"窗口重复：应更新原行",IF(AND(AD58="是",COUNTIFS($B$2:$B$301,B58,$C$2:$C$301,C58,$D$2:$D$301,D58,$AD$2:$AD$301,"是")&gt;1),"重复汇总：同视频SKU仅选一行",IF(AND(AC58="已复盘",AD58="是",ISNUMBER(Y58),AE58&lt;&gt;""),"可汇总","观察中/未完成结算核对"))))))))</f>
        <v/>
      </c>
      <c r="AG58" s="9">
        <f>IF(C58="","",IF(OR(H58="",I58=""),"待补充",IF(COUNTIFS($C$2:$C$301,C58,$H$2:$H$301,H58,$I$2:$I$301,I58)&lt;&gt;COUNTIF($C$2:$C$301,C58),"请统一日期/负责人",IF(COUNTIF($C$2:C58,C58)=1,1,0))))</f>
        <v/>
      </c>
    </row>
    <row r="59" spans="25:33" ht="34" customHeight="1">
      <c r="Y59" s="10">
        <f>IF(A59="","",IF(COUNT(P59,R59:S59,U59:X59)&lt;7,"待补充",IF(MIN(P59,R59:S59,U59:X59)&lt;0,"检查输入",ROUND(P59-SUM(R59:S59)-SUM(U59:X59),4))))</f>
        <v/>
      </c>
      <c r="AF59" s="9">
        <f>IF(A59="","",IF(COUNTIF($A$2:$A$301,A59)&gt;1,"归因记录ID重复",IF(OR(B59="",C59="",D59="",H59="",COUNT(E59:G59)&lt;3,I59="",Z59=""),"待补归因/证据/日期",IF(F59&lt;E59,"窗口起止错误",IF(COUNTIF('达人线索与合作'!$B$2:$B$301,B59)&lt;&gt;1,"合作ID未唯一匹配",IF(COUNTIFS($B$2:$B$301,B59,$C$2:$C$301,C59,$D$2:$D$301,D59,$E$2:$E$301,E59,$F$2:$F$301,F59)&gt;1,"窗口重复：应更新原行",IF(AND(AD59="是",COUNTIFS($B$2:$B$301,B59,$C$2:$C$301,C59,$D$2:$D$301,D59,$AD$2:$AD$301,"是")&gt;1),"重复汇总：同视频SKU仅选一行",IF(AND(AC59="已复盘",AD59="是",ISNUMBER(Y59),AE59&lt;&gt;""),"可汇总","观察中/未完成结算核对"))))))))</f>
        <v/>
      </c>
      <c r="AG59" s="9">
        <f>IF(C59="","",IF(OR(H59="",I59=""),"待补充",IF(COUNTIFS($C$2:$C$301,C59,$H$2:$H$301,H59,$I$2:$I$301,I59)&lt;&gt;COUNTIF($C$2:$C$301,C59),"请统一日期/负责人",IF(COUNTIF($C$2:C59,C59)=1,1,0))))</f>
        <v/>
      </c>
    </row>
    <row r="60" spans="25:33" ht="34" customHeight="1">
      <c r="Y60" s="10">
        <f>IF(A60="","",IF(COUNT(P60,R60:S60,U60:X60)&lt;7,"待补充",IF(MIN(P60,R60:S60,U60:X60)&lt;0,"检查输入",ROUND(P60-SUM(R60:S60)-SUM(U60:X60),4))))</f>
        <v/>
      </c>
      <c r="AF60" s="9">
        <f>IF(A60="","",IF(COUNTIF($A$2:$A$301,A60)&gt;1,"归因记录ID重复",IF(OR(B60="",C60="",D60="",H60="",COUNT(E60:G60)&lt;3,I60="",Z60=""),"待补归因/证据/日期",IF(F60&lt;E60,"窗口起止错误",IF(COUNTIF('达人线索与合作'!$B$2:$B$301,B60)&lt;&gt;1,"合作ID未唯一匹配",IF(COUNTIFS($B$2:$B$301,B60,$C$2:$C$301,C60,$D$2:$D$301,D60,$E$2:$E$301,E60,$F$2:$F$301,F60)&gt;1,"窗口重复：应更新原行",IF(AND(AD60="是",COUNTIFS($B$2:$B$301,B60,$C$2:$C$301,C60,$D$2:$D$301,D60,$AD$2:$AD$301,"是")&gt;1),"重复汇总：同视频SKU仅选一行",IF(AND(AC60="已复盘",AD60="是",ISNUMBER(Y60),AE60&lt;&gt;""),"可汇总","观察中/未完成结算核对"))))))))</f>
        <v/>
      </c>
      <c r="AG60" s="9">
        <f>IF(C60="","",IF(OR(H60="",I60=""),"待补充",IF(COUNTIFS($C$2:$C$301,C60,$H$2:$H$301,H60,$I$2:$I$301,I60)&lt;&gt;COUNTIF($C$2:$C$301,C60),"请统一日期/负责人",IF(COUNTIF($C$2:C60,C60)=1,1,0))))</f>
        <v/>
      </c>
    </row>
    <row r="61" spans="25:33" ht="34" customHeight="1">
      <c r="Y61" s="10">
        <f>IF(A61="","",IF(COUNT(P61,R61:S61,U61:X61)&lt;7,"待补充",IF(MIN(P61,R61:S61,U61:X61)&lt;0,"检查输入",ROUND(P61-SUM(R61:S61)-SUM(U61:X61),4))))</f>
        <v/>
      </c>
      <c r="AF61" s="9">
        <f>IF(A61="","",IF(COUNTIF($A$2:$A$301,A61)&gt;1,"归因记录ID重复",IF(OR(B61="",C61="",D61="",H61="",COUNT(E61:G61)&lt;3,I61="",Z61=""),"待补归因/证据/日期",IF(F61&lt;E61,"窗口起止错误",IF(COUNTIF('达人线索与合作'!$B$2:$B$301,B61)&lt;&gt;1,"合作ID未唯一匹配",IF(COUNTIFS($B$2:$B$301,B61,$C$2:$C$301,C61,$D$2:$D$301,D61,$E$2:$E$301,E61,$F$2:$F$301,F61)&gt;1,"窗口重复：应更新原行",IF(AND(AD61="是",COUNTIFS($B$2:$B$301,B61,$C$2:$C$301,C61,$D$2:$D$301,D61,$AD$2:$AD$301,"是")&gt;1),"重复汇总：同视频SKU仅选一行",IF(AND(AC61="已复盘",AD61="是",ISNUMBER(Y61),AE61&lt;&gt;""),"可汇总","观察中/未完成结算核对"))))))))</f>
        <v/>
      </c>
      <c r="AG61" s="9">
        <f>IF(C61="","",IF(OR(H61="",I61=""),"待补充",IF(COUNTIFS($C$2:$C$301,C61,$H$2:$H$301,H61,$I$2:$I$301,I61)&lt;&gt;COUNTIF($C$2:$C$301,C61),"请统一日期/负责人",IF(COUNTIF($C$2:C61,C61)=1,1,0))))</f>
        <v/>
      </c>
    </row>
    <row r="62" spans="25:33" ht="34" customHeight="1">
      <c r="Y62" s="10">
        <f>IF(A62="","",IF(COUNT(P62,R62:S62,U62:X62)&lt;7,"待补充",IF(MIN(P62,R62:S62,U62:X62)&lt;0,"检查输入",ROUND(P62-SUM(R62:S62)-SUM(U62:X62),4))))</f>
        <v/>
      </c>
      <c r="AF62" s="9">
        <f>IF(A62="","",IF(COUNTIF($A$2:$A$301,A62)&gt;1,"归因记录ID重复",IF(OR(B62="",C62="",D62="",H62="",COUNT(E62:G62)&lt;3,I62="",Z62=""),"待补归因/证据/日期",IF(F62&lt;E62,"窗口起止错误",IF(COUNTIF('达人线索与合作'!$B$2:$B$301,B62)&lt;&gt;1,"合作ID未唯一匹配",IF(COUNTIFS($B$2:$B$301,B62,$C$2:$C$301,C62,$D$2:$D$301,D62,$E$2:$E$301,E62,$F$2:$F$301,F62)&gt;1,"窗口重复：应更新原行",IF(AND(AD62="是",COUNTIFS($B$2:$B$301,B62,$C$2:$C$301,C62,$D$2:$D$301,D62,$AD$2:$AD$301,"是")&gt;1),"重复汇总：同视频SKU仅选一行",IF(AND(AC62="已复盘",AD62="是",ISNUMBER(Y62),AE62&lt;&gt;""),"可汇总","观察中/未完成结算核对"))))))))</f>
        <v/>
      </c>
      <c r="AG62" s="9">
        <f>IF(C62="","",IF(OR(H62="",I62=""),"待补充",IF(COUNTIFS($C$2:$C$301,C62,$H$2:$H$301,H62,$I$2:$I$301,I62)&lt;&gt;COUNTIF($C$2:$C$301,C62),"请统一日期/负责人",IF(COUNTIF($C$2:C62,C62)=1,1,0))))</f>
        <v/>
      </c>
    </row>
    <row r="63" spans="25:33" ht="34" customHeight="1">
      <c r="Y63" s="10">
        <f>IF(A63="","",IF(COUNT(P63,R63:S63,U63:X63)&lt;7,"待补充",IF(MIN(P63,R63:S63,U63:X63)&lt;0,"检查输入",ROUND(P63-SUM(R63:S63)-SUM(U63:X63),4))))</f>
        <v/>
      </c>
      <c r="AF63" s="9">
        <f>IF(A63="","",IF(COUNTIF($A$2:$A$301,A63)&gt;1,"归因记录ID重复",IF(OR(B63="",C63="",D63="",H63="",COUNT(E63:G63)&lt;3,I63="",Z63=""),"待补归因/证据/日期",IF(F63&lt;E63,"窗口起止错误",IF(COUNTIF('达人线索与合作'!$B$2:$B$301,B63)&lt;&gt;1,"合作ID未唯一匹配",IF(COUNTIFS($B$2:$B$301,B63,$C$2:$C$301,C63,$D$2:$D$301,D63,$E$2:$E$301,E63,$F$2:$F$301,F63)&gt;1,"窗口重复：应更新原行",IF(AND(AD63="是",COUNTIFS($B$2:$B$301,B63,$C$2:$C$301,C63,$D$2:$D$301,D63,$AD$2:$AD$301,"是")&gt;1),"重复汇总：同视频SKU仅选一行",IF(AND(AC63="已复盘",AD63="是",ISNUMBER(Y63),AE63&lt;&gt;""),"可汇总","观察中/未完成结算核对"))))))))</f>
        <v/>
      </c>
      <c r="AG63" s="9">
        <f>IF(C63="","",IF(OR(H63="",I63=""),"待补充",IF(COUNTIFS($C$2:$C$301,C63,$H$2:$H$301,H63,$I$2:$I$301,I63)&lt;&gt;COUNTIF($C$2:$C$301,C63),"请统一日期/负责人",IF(COUNTIF($C$2:C63,C63)=1,1,0))))</f>
        <v/>
      </c>
    </row>
    <row r="64" spans="25:33" ht="34" customHeight="1">
      <c r="Y64" s="10">
        <f>IF(A64="","",IF(COUNT(P64,R64:S64,U64:X64)&lt;7,"待补充",IF(MIN(P64,R64:S64,U64:X64)&lt;0,"检查输入",ROUND(P64-SUM(R64:S64)-SUM(U64:X64),4))))</f>
        <v/>
      </c>
      <c r="AF64" s="9">
        <f>IF(A64="","",IF(COUNTIF($A$2:$A$301,A64)&gt;1,"归因记录ID重复",IF(OR(B64="",C64="",D64="",H64="",COUNT(E64:G64)&lt;3,I64="",Z64=""),"待补归因/证据/日期",IF(F64&lt;E64,"窗口起止错误",IF(COUNTIF('达人线索与合作'!$B$2:$B$301,B64)&lt;&gt;1,"合作ID未唯一匹配",IF(COUNTIFS($B$2:$B$301,B64,$C$2:$C$301,C64,$D$2:$D$301,D64,$E$2:$E$301,E64,$F$2:$F$301,F64)&gt;1,"窗口重复：应更新原行",IF(AND(AD64="是",COUNTIFS($B$2:$B$301,B64,$C$2:$C$301,C64,$D$2:$D$301,D64,$AD$2:$AD$301,"是")&gt;1),"重复汇总：同视频SKU仅选一行",IF(AND(AC64="已复盘",AD64="是",ISNUMBER(Y64),AE64&lt;&gt;""),"可汇总","观察中/未完成结算核对"))))))))</f>
        <v/>
      </c>
      <c r="AG64" s="9">
        <f>IF(C64="","",IF(OR(H64="",I64=""),"待补充",IF(COUNTIFS($C$2:$C$301,C64,$H$2:$H$301,H64,$I$2:$I$301,I64)&lt;&gt;COUNTIF($C$2:$C$301,C64),"请统一日期/负责人",IF(COUNTIF($C$2:C64,C64)=1,1,0))))</f>
        <v/>
      </c>
    </row>
    <row r="65" spans="25:33" ht="34" customHeight="1">
      <c r="Y65" s="10">
        <f>IF(A65="","",IF(COUNT(P65,R65:S65,U65:X65)&lt;7,"待补充",IF(MIN(P65,R65:S65,U65:X65)&lt;0,"检查输入",ROUND(P65-SUM(R65:S65)-SUM(U65:X65),4))))</f>
        <v/>
      </c>
      <c r="AF65" s="9">
        <f>IF(A65="","",IF(COUNTIF($A$2:$A$301,A65)&gt;1,"归因记录ID重复",IF(OR(B65="",C65="",D65="",H65="",COUNT(E65:G65)&lt;3,I65="",Z65=""),"待补归因/证据/日期",IF(F65&lt;E65,"窗口起止错误",IF(COUNTIF('达人线索与合作'!$B$2:$B$301,B65)&lt;&gt;1,"合作ID未唯一匹配",IF(COUNTIFS($B$2:$B$301,B65,$C$2:$C$301,C65,$D$2:$D$301,D65,$E$2:$E$301,E65,$F$2:$F$301,F65)&gt;1,"窗口重复：应更新原行",IF(AND(AD65="是",COUNTIFS($B$2:$B$301,B65,$C$2:$C$301,C65,$D$2:$D$301,D65,$AD$2:$AD$301,"是")&gt;1),"重复汇总：同视频SKU仅选一行",IF(AND(AC65="已复盘",AD65="是",ISNUMBER(Y65),AE65&lt;&gt;""),"可汇总","观察中/未完成结算核对"))))))))</f>
        <v/>
      </c>
      <c r="AG65" s="9">
        <f>IF(C65="","",IF(OR(H65="",I65=""),"待补充",IF(COUNTIFS($C$2:$C$301,C65,$H$2:$H$301,H65,$I$2:$I$301,I65)&lt;&gt;COUNTIF($C$2:$C$301,C65),"请统一日期/负责人",IF(COUNTIF($C$2:C65,C65)=1,1,0))))</f>
        <v/>
      </c>
    </row>
    <row r="66" spans="25:33" ht="34" customHeight="1">
      <c r="Y66" s="10">
        <f>IF(A66="","",IF(COUNT(P66,R66:S66,U66:X66)&lt;7,"待补充",IF(MIN(P66,R66:S66,U66:X66)&lt;0,"检查输入",ROUND(P66-SUM(R66:S66)-SUM(U66:X66),4))))</f>
        <v/>
      </c>
      <c r="AF66" s="9">
        <f>IF(A66="","",IF(COUNTIF($A$2:$A$301,A66)&gt;1,"归因记录ID重复",IF(OR(B66="",C66="",D66="",H66="",COUNT(E66:G66)&lt;3,I66="",Z66=""),"待补归因/证据/日期",IF(F66&lt;E66,"窗口起止错误",IF(COUNTIF('达人线索与合作'!$B$2:$B$301,B66)&lt;&gt;1,"合作ID未唯一匹配",IF(COUNTIFS($B$2:$B$301,B66,$C$2:$C$301,C66,$D$2:$D$301,D66,$E$2:$E$301,E66,$F$2:$F$301,F66)&gt;1,"窗口重复：应更新原行",IF(AND(AD66="是",COUNTIFS($B$2:$B$301,B66,$C$2:$C$301,C66,$D$2:$D$301,D66,$AD$2:$AD$301,"是")&gt;1),"重复汇总：同视频SKU仅选一行",IF(AND(AC66="已复盘",AD66="是",ISNUMBER(Y66),AE66&lt;&gt;""),"可汇总","观察中/未完成结算核对"))))))))</f>
        <v/>
      </c>
      <c r="AG66" s="9">
        <f>IF(C66="","",IF(OR(H66="",I66=""),"待补充",IF(COUNTIFS($C$2:$C$301,C66,$H$2:$H$301,H66,$I$2:$I$301,I66)&lt;&gt;COUNTIF($C$2:$C$301,C66),"请统一日期/负责人",IF(COUNTIF($C$2:C66,C66)=1,1,0))))</f>
        <v/>
      </c>
    </row>
    <row r="67" spans="25:33" ht="34" customHeight="1">
      <c r="Y67" s="10">
        <f>IF(A67="","",IF(COUNT(P67,R67:S67,U67:X67)&lt;7,"待补充",IF(MIN(P67,R67:S67,U67:X67)&lt;0,"检查输入",ROUND(P67-SUM(R67:S67)-SUM(U67:X67),4))))</f>
        <v/>
      </c>
      <c r="AF67" s="9">
        <f>IF(A67="","",IF(COUNTIF($A$2:$A$301,A67)&gt;1,"归因记录ID重复",IF(OR(B67="",C67="",D67="",H67="",COUNT(E67:G67)&lt;3,I67="",Z67=""),"待补归因/证据/日期",IF(F67&lt;E67,"窗口起止错误",IF(COUNTIF('达人线索与合作'!$B$2:$B$301,B67)&lt;&gt;1,"合作ID未唯一匹配",IF(COUNTIFS($B$2:$B$301,B67,$C$2:$C$301,C67,$D$2:$D$301,D67,$E$2:$E$301,E67,$F$2:$F$301,F67)&gt;1,"窗口重复：应更新原行",IF(AND(AD67="是",COUNTIFS($B$2:$B$301,B67,$C$2:$C$301,C67,$D$2:$D$301,D67,$AD$2:$AD$301,"是")&gt;1),"重复汇总：同视频SKU仅选一行",IF(AND(AC67="已复盘",AD67="是",ISNUMBER(Y67),AE67&lt;&gt;""),"可汇总","观察中/未完成结算核对"))))))))</f>
        <v/>
      </c>
      <c r="AG67" s="9">
        <f>IF(C67="","",IF(OR(H67="",I67=""),"待补充",IF(COUNTIFS($C$2:$C$301,C67,$H$2:$H$301,H67,$I$2:$I$301,I67)&lt;&gt;COUNTIF($C$2:$C$301,C67),"请统一日期/负责人",IF(COUNTIF($C$2:C67,C67)=1,1,0))))</f>
        <v/>
      </c>
    </row>
    <row r="68" spans="25:33" ht="34" customHeight="1">
      <c r="Y68" s="10">
        <f>IF(A68="","",IF(COUNT(P68,R68:S68,U68:X68)&lt;7,"待补充",IF(MIN(P68,R68:S68,U68:X68)&lt;0,"检查输入",ROUND(P68-SUM(R68:S68)-SUM(U68:X68),4))))</f>
        <v/>
      </c>
      <c r="AF68" s="9">
        <f>IF(A68="","",IF(COUNTIF($A$2:$A$301,A68)&gt;1,"归因记录ID重复",IF(OR(B68="",C68="",D68="",H68="",COUNT(E68:G68)&lt;3,I68="",Z68=""),"待补归因/证据/日期",IF(F68&lt;E68,"窗口起止错误",IF(COUNTIF('达人线索与合作'!$B$2:$B$301,B68)&lt;&gt;1,"合作ID未唯一匹配",IF(COUNTIFS($B$2:$B$301,B68,$C$2:$C$301,C68,$D$2:$D$301,D68,$E$2:$E$301,E68,$F$2:$F$301,F68)&gt;1,"窗口重复：应更新原行",IF(AND(AD68="是",COUNTIFS($B$2:$B$301,B68,$C$2:$C$301,C68,$D$2:$D$301,D68,$AD$2:$AD$301,"是")&gt;1),"重复汇总：同视频SKU仅选一行",IF(AND(AC68="已复盘",AD68="是",ISNUMBER(Y68),AE68&lt;&gt;""),"可汇总","观察中/未完成结算核对"))))))))</f>
        <v/>
      </c>
      <c r="AG68" s="9">
        <f>IF(C68="","",IF(OR(H68="",I68=""),"待补充",IF(COUNTIFS($C$2:$C$301,C68,$H$2:$H$301,H68,$I$2:$I$301,I68)&lt;&gt;COUNTIF($C$2:$C$301,C68),"请统一日期/负责人",IF(COUNTIF($C$2:C68,C68)=1,1,0))))</f>
        <v/>
      </c>
    </row>
    <row r="69" spans="25:33" ht="34" customHeight="1">
      <c r="Y69" s="10">
        <f>IF(A69="","",IF(COUNT(P69,R69:S69,U69:X69)&lt;7,"待补充",IF(MIN(P69,R69:S69,U69:X69)&lt;0,"检查输入",ROUND(P69-SUM(R69:S69)-SUM(U69:X69),4))))</f>
        <v/>
      </c>
      <c r="AF69" s="9">
        <f>IF(A69="","",IF(COUNTIF($A$2:$A$301,A69)&gt;1,"归因记录ID重复",IF(OR(B69="",C69="",D69="",H69="",COUNT(E69:G69)&lt;3,I69="",Z69=""),"待补归因/证据/日期",IF(F69&lt;E69,"窗口起止错误",IF(COUNTIF('达人线索与合作'!$B$2:$B$301,B69)&lt;&gt;1,"合作ID未唯一匹配",IF(COUNTIFS($B$2:$B$301,B69,$C$2:$C$301,C69,$D$2:$D$301,D69,$E$2:$E$301,E69,$F$2:$F$301,F69)&gt;1,"窗口重复：应更新原行",IF(AND(AD69="是",COUNTIFS($B$2:$B$301,B69,$C$2:$C$301,C69,$D$2:$D$301,D69,$AD$2:$AD$301,"是")&gt;1),"重复汇总：同视频SKU仅选一行",IF(AND(AC69="已复盘",AD69="是",ISNUMBER(Y69),AE69&lt;&gt;""),"可汇总","观察中/未完成结算核对"))))))))</f>
        <v/>
      </c>
      <c r="AG69" s="9">
        <f>IF(C69="","",IF(OR(H69="",I69=""),"待补充",IF(COUNTIFS($C$2:$C$301,C69,$H$2:$H$301,H69,$I$2:$I$301,I69)&lt;&gt;COUNTIF($C$2:$C$301,C69),"请统一日期/负责人",IF(COUNTIF($C$2:C69,C69)=1,1,0))))</f>
        <v/>
      </c>
    </row>
    <row r="70" spans="25:33" ht="34" customHeight="1">
      <c r="Y70" s="10">
        <f>IF(A70="","",IF(COUNT(P70,R70:S70,U70:X70)&lt;7,"待补充",IF(MIN(P70,R70:S70,U70:X70)&lt;0,"检查输入",ROUND(P70-SUM(R70:S70)-SUM(U70:X70),4))))</f>
        <v/>
      </c>
      <c r="AF70" s="9">
        <f>IF(A70="","",IF(COUNTIF($A$2:$A$301,A70)&gt;1,"归因记录ID重复",IF(OR(B70="",C70="",D70="",H70="",COUNT(E70:G70)&lt;3,I70="",Z70=""),"待补归因/证据/日期",IF(F70&lt;E70,"窗口起止错误",IF(COUNTIF('达人线索与合作'!$B$2:$B$301,B70)&lt;&gt;1,"合作ID未唯一匹配",IF(COUNTIFS($B$2:$B$301,B70,$C$2:$C$301,C70,$D$2:$D$301,D70,$E$2:$E$301,E70,$F$2:$F$301,F70)&gt;1,"窗口重复：应更新原行",IF(AND(AD70="是",COUNTIFS($B$2:$B$301,B70,$C$2:$C$301,C70,$D$2:$D$301,D70,$AD$2:$AD$301,"是")&gt;1),"重复汇总：同视频SKU仅选一行",IF(AND(AC70="已复盘",AD70="是",ISNUMBER(Y70),AE70&lt;&gt;""),"可汇总","观察中/未完成结算核对"))))))))</f>
        <v/>
      </c>
      <c r="AG70" s="9">
        <f>IF(C70="","",IF(OR(H70="",I70=""),"待补充",IF(COUNTIFS($C$2:$C$301,C70,$H$2:$H$301,H70,$I$2:$I$301,I70)&lt;&gt;COUNTIF($C$2:$C$301,C70),"请统一日期/负责人",IF(COUNTIF($C$2:C70,C70)=1,1,0))))</f>
        <v/>
      </c>
    </row>
    <row r="71" spans="25:33" ht="34" customHeight="1">
      <c r="Y71" s="10">
        <f>IF(A71="","",IF(COUNT(P71,R71:S71,U71:X71)&lt;7,"待补充",IF(MIN(P71,R71:S71,U71:X71)&lt;0,"检查输入",ROUND(P71-SUM(R71:S71)-SUM(U71:X71),4))))</f>
        <v/>
      </c>
      <c r="AF71" s="9">
        <f>IF(A71="","",IF(COUNTIF($A$2:$A$301,A71)&gt;1,"归因记录ID重复",IF(OR(B71="",C71="",D71="",H71="",COUNT(E71:G71)&lt;3,I71="",Z71=""),"待补归因/证据/日期",IF(F71&lt;E71,"窗口起止错误",IF(COUNTIF('达人线索与合作'!$B$2:$B$301,B71)&lt;&gt;1,"合作ID未唯一匹配",IF(COUNTIFS($B$2:$B$301,B71,$C$2:$C$301,C71,$D$2:$D$301,D71,$E$2:$E$301,E71,$F$2:$F$301,F71)&gt;1,"窗口重复：应更新原行",IF(AND(AD71="是",COUNTIFS($B$2:$B$301,B71,$C$2:$C$301,C71,$D$2:$D$301,D71,$AD$2:$AD$301,"是")&gt;1),"重复汇总：同视频SKU仅选一行",IF(AND(AC71="已复盘",AD71="是",ISNUMBER(Y71),AE71&lt;&gt;""),"可汇总","观察中/未完成结算核对"))))))))</f>
        <v/>
      </c>
      <c r="AG71" s="9">
        <f>IF(C71="","",IF(OR(H71="",I71=""),"待补充",IF(COUNTIFS($C$2:$C$301,C71,$H$2:$H$301,H71,$I$2:$I$301,I71)&lt;&gt;COUNTIF($C$2:$C$301,C71),"请统一日期/负责人",IF(COUNTIF($C$2:C71,C71)=1,1,0))))</f>
        <v/>
      </c>
    </row>
    <row r="72" spans="25:33" ht="34" customHeight="1">
      <c r="Y72" s="10">
        <f>IF(A72="","",IF(COUNT(P72,R72:S72,U72:X72)&lt;7,"待补充",IF(MIN(P72,R72:S72,U72:X72)&lt;0,"检查输入",ROUND(P72-SUM(R72:S72)-SUM(U72:X72),4))))</f>
        <v/>
      </c>
      <c r="AF72" s="9">
        <f>IF(A72="","",IF(COUNTIF($A$2:$A$301,A72)&gt;1,"归因记录ID重复",IF(OR(B72="",C72="",D72="",H72="",COUNT(E72:G72)&lt;3,I72="",Z72=""),"待补归因/证据/日期",IF(F72&lt;E72,"窗口起止错误",IF(COUNTIF('达人线索与合作'!$B$2:$B$301,B72)&lt;&gt;1,"合作ID未唯一匹配",IF(COUNTIFS($B$2:$B$301,B72,$C$2:$C$301,C72,$D$2:$D$301,D72,$E$2:$E$301,E72,$F$2:$F$301,F72)&gt;1,"窗口重复：应更新原行",IF(AND(AD72="是",COUNTIFS($B$2:$B$301,B72,$C$2:$C$301,C72,$D$2:$D$301,D72,$AD$2:$AD$301,"是")&gt;1),"重复汇总：同视频SKU仅选一行",IF(AND(AC72="已复盘",AD72="是",ISNUMBER(Y72),AE72&lt;&gt;""),"可汇总","观察中/未完成结算核对"))))))))</f>
        <v/>
      </c>
      <c r="AG72" s="9">
        <f>IF(C72="","",IF(OR(H72="",I72=""),"待补充",IF(COUNTIFS($C$2:$C$301,C72,$H$2:$H$301,H72,$I$2:$I$301,I72)&lt;&gt;COUNTIF($C$2:$C$301,C72),"请统一日期/负责人",IF(COUNTIF($C$2:C72,C72)=1,1,0))))</f>
        <v/>
      </c>
    </row>
    <row r="73" spans="25:33" ht="34" customHeight="1">
      <c r="Y73" s="10">
        <f>IF(A73="","",IF(COUNT(P73,R73:S73,U73:X73)&lt;7,"待补充",IF(MIN(P73,R73:S73,U73:X73)&lt;0,"检查输入",ROUND(P73-SUM(R73:S73)-SUM(U73:X73),4))))</f>
        <v/>
      </c>
      <c r="AF73" s="9">
        <f>IF(A73="","",IF(COUNTIF($A$2:$A$301,A73)&gt;1,"归因记录ID重复",IF(OR(B73="",C73="",D73="",H73="",COUNT(E73:G73)&lt;3,I73="",Z73=""),"待补归因/证据/日期",IF(F73&lt;E73,"窗口起止错误",IF(COUNTIF('达人线索与合作'!$B$2:$B$301,B73)&lt;&gt;1,"合作ID未唯一匹配",IF(COUNTIFS($B$2:$B$301,B73,$C$2:$C$301,C73,$D$2:$D$301,D73,$E$2:$E$301,E73,$F$2:$F$301,F73)&gt;1,"窗口重复：应更新原行",IF(AND(AD73="是",COUNTIFS($B$2:$B$301,B73,$C$2:$C$301,C73,$D$2:$D$301,D73,$AD$2:$AD$301,"是")&gt;1),"重复汇总：同视频SKU仅选一行",IF(AND(AC73="已复盘",AD73="是",ISNUMBER(Y73),AE73&lt;&gt;""),"可汇总","观察中/未完成结算核对"))))))))</f>
        <v/>
      </c>
      <c r="AG73" s="9">
        <f>IF(C73="","",IF(OR(H73="",I73=""),"待补充",IF(COUNTIFS($C$2:$C$301,C73,$H$2:$H$301,H73,$I$2:$I$301,I73)&lt;&gt;COUNTIF($C$2:$C$301,C73),"请统一日期/负责人",IF(COUNTIF($C$2:C73,C73)=1,1,0))))</f>
        <v/>
      </c>
    </row>
    <row r="74" spans="25:33" ht="34" customHeight="1">
      <c r="Y74" s="10">
        <f>IF(A74="","",IF(COUNT(P74,R74:S74,U74:X74)&lt;7,"待补充",IF(MIN(P74,R74:S74,U74:X74)&lt;0,"检查输入",ROUND(P74-SUM(R74:S74)-SUM(U74:X74),4))))</f>
        <v/>
      </c>
      <c r="AF74" s="9">
        <f>IF(A74="","",IF(COUNTIF($A$2:$A$301,A74)&gt;1,"归因记录ID重复",IF(OR(B74="",C74="",D74="",H74="",COUNT(E74:G74)&lt;3,I74="",Z74=""),"待补归因/证据/日期",IF(F74&lt;E74,"窗口起止错误",IF(COUNTIF('达人线索与合作'!$B$2:$B$301,B74)&lt;&gt;1,"合作ID未唯一匹配",IF(COUNTIFS($B$2:$B$301,B74,$C$2:$C$301,C74,$D$2:$D$301,D74,$E$2:$E$301,E74,$F$2:$F$301,F74)&gt;1,"窗口重复：应更新原行",IF(AND(AD74="是",COUNTIFS($B$2:$B$301,B74,$C$2:$C$301,C74,$D$2:$D$301,D74,$AD$2:$AD$301,"是")&gt;1),"重复汇总：同视频SKU仅选一行",IF(AND(AC74="已复盘",AD74="是",ISNUMBER(Y74),AE74&lt;&gt;""),"可汇总","观察中/未完成结算核对"))))))))</f>
        <v/>
      </c>
      <c r="AG74" s="9">
        <f>IF(C74="","",IF(OR(H74="",I74=""),"待补充",IF(COUNTIFS($C$2:$C$301,C74,$H$2:$H$301,H74,$I$2:$I$301,I74)&lt;&gt;COUNTIF($C$2:$C$301,C74),"请统一日期/负责人",IF(COUNTIF($C$2:C74,C74)=1,1,0))))</f>
        <v/>
      </c>
    </row>
    <row r="75" spans="25:33" ht="34" customHeight="1">
      <c r="Y75" s="10">
        <f>IF(A75="","",IF(COUNT(P75,R75:S75,U75:X75)&lt;7,"待补充",IF(MIN(P75,R75:S75,U75:X75)&lt;0,"检查输入",ROUND(P75-SUM(R75:S75)-SUM(U75:X75),4))))</f>
        <v/>
      </c>
      <c r="AF75" s="9">
        <f>IF(A75="","",IF(COUNTIF($A$2:$A$301,A75)&gt;1,"归因记录ID重复",IF(OR(B75="",C75="",D75="",H75="",COUNT(E75:G75)&lt;3,I75="",Z75=""),"待补归因/证据/日期",IF(F75&lt;E75,"窗口起止错误",IF(COUNTIF('达人线索与合作'!$B$2:$B$301,B75)&lt;&gt;1,"合作ID未唯一匹配",IF(COUNTIFS($B$2:$B$301,B75,$C$2:$C$301,C75,$D$2:$D$301,D75,$E$2:$E$301,E75,$F$2:$F$301,F75)&gt;1,"窗口重复：应更新原行",IF(AND(AD75="是",COUNTIFS($B$2:$B$301,B75,$C$2:$C$301,C75,$D$2:$D$301,D75,$AD$2:$AD$301,"是")&gt;1),"重复汇总：同视频SKU仅选一行",IF(AND(AC75="已复盘",AD75="是",ISNUMBER(Y75),AE75&lt;&gt;""),"可汇总","观察中/未完成结算核对"))))))))</f>
        <v/>
      </c>
      <c r="AG75" s="9">
        <f>IF(C75="","",IF(OR(H75="",I75=""),"待补充",IF(COUNTIFS($C$2:$C$301,C75,$H$2:$H$301,H75,$I$2:$I$301,I75)&lt;&gt;COUNTIF($C$2:$C$301,C75),"请统一日期/负责人",IF(COUNTIF($C$2:C75,C75)=1,1,0))))</f>
        <v/>
      </c>
    </row>
    <row r="76" spans="25:33" ht="34" customHeight="1">
      <c r="Y76" s="10">
        <f>IF(A76="","",IF(COUNT(P76,R76:S76,U76:X76)&lt;7,"待补充",IF(MIN(P76,R76:S76,U76:X76)&lt;0,"检查输入",ROUND(P76-SUM(R76:S76)-SUM(U76:X76),4))))</f>
        <v/>
      </c>
      <c r="AF76" s="9">
        <f>IF(A76="","",IF(COUNTIF($A$2:$A$301,A76)&gt;1,"归因记录ID重复",IF(OR(B76="",C76="",D76="",H76="",COUNT(E76:G76)&lt;3,I76="",Z76=""),"待补归因/证据/日期",IF(F76&lt;E76,"窗口起止错误",IF(COUNTIF('达人线索与合作'!$B$2:$B$301,B76)&lt;&gt;1,"合作ID未唯一匹配",IF(COUNTIFS($B$2:$B$301,B76,$C$2:$C$301,C76,$D$2:$D$301,D76,$E$2:$E$301,E76,$F$2:$F$301,F76)&gt;1,"窗口重复：应更新原行",IF(AND(AD76="是",COUNTIFS($B$2:$B$301,B76,$C$2:$C$301,C76,$D$2:$D$301,D76,$AD$2:$AD$301,"是")&gt;1),"重复汇总：同视频SKU仅选一行",IF(AND(AC76="已复盘",AD76="是",ISNUMBER(Y76),AE76&lt;&gt;""),"可汇总","观察中/未完成结算核对"))))))))</f>
        <v/>
      </c>
      <c r="AG76" s="9">
        <f>IF(C76="","",IF(OR(H76="",I76=""),"待补充",IF(COUNTIFS($C$2:$C$301,C76,$H$2:$H$301,H76,$I$2:$I$301,I76)&lt;&gt;COUNTIF($C$2:$C$301,C76),"请统一日期/负责人",IF(COUNTIF($C$2:C76,C76)=1,1,0))))</f>
        <v/>
      </c>
    </row>
    <row r="77" spans="25:33" ht="34" customHeight="1">
      <c r="Y77" s="10">
        <f>IF(A77="","",IF(COUNT(P77,R77:S77,U77:X77)&lt;7,"待补充",IF(MIN(P77,R77:S77,U77:X77)&lt;0,"检查输入",ROUND(P77-SUM(R77:S77)-SUM(U77:X77),4))))</f>
        <v/>
      </c>
      <c r="AF77" s="9">
        <f>IF(A77="","",IF(COUNTIF($A$2:$A$301,A77)&gt;1,"归因记录ID重复",IF(OR(B77="",C77="",D77="",H77="",COUNT(E77:G77)&lt;3,I77="",Z77=""),"待补归因/证据/日期",IF(F77&lt;E77,"窗口起止错误",IF(COUNTIF('达人线索与合作'!$B$2:$B$301,B77)&lt;&gt;1,"合作ID未唯一匹配",IF(COUNTIFS($B$2:$B$301,B77,$C$2:$C$301,C77,$D$2:$D$301,D77,$E$2:$E$301,E77,$F$2:$F$301,F77)&gt;1,"窗口重复：应更新原行",IF(AND(AD77="是",COUNTIFS($B$2:$B$301,B77,$C$2:$C$301,C77,$D$2:$D$301,D77,$AD$2:$AD$301,"是")&gt;1),"重复汇总：同视频SKU仅选一行",IF(AND(AC77="已复盘",AD77="是",ISNUMBER(Y77),AE77&lt;&gt;""),"可汇总","观察中/未完成结算核对"))))))))</f>
        <v/>
      </c>
      <c r="AG77" s="9">
        <f>IF(C77="","",IF(OR(H77="",I77=""),"待补充",IF(COUNTIFS($C$2:$C$301,C77,$H$2:$H$301,H77,$I$2:$I$301,I77)&lt;&gt;COUNTIF($C$2:$C$301,C77),"请统一日期/负责人",IF(COUNTIF($C$2:C77,C77)=1,1,0))))</f>
        <v/>
      </c>
    </row>
    <row r="78" spans="25:33" ht="34" customHeight="1">
      <c r="Y78" s="10">
        <f>IF(A78="","",IF(COUNT(P78,R78:S78,U78:X78)&lt;7,"待补充",IF(MIN(P78,R78:S78,U78:X78)&lt;0,"检查输入",ROUND(P78-SUM(R78:S78)-SUM(U78:X78),4))))</f>
        <v/>
      </c>
      <c r="AF78" s="9">
        <f>IF(A78="","",IF(COUNTIF($A$2:$A$301,A78)&gt;1,"归因记录ID重复",IF(OR(B78="",C78="",D78="",H78="",COUNT(E78:G78)&lt;3,I78="",Z78=""),"待补归因/证据/日期",IF(F78&lt;E78,"窗口起止错误",IF(COUNTIF('达人线索与合作'!$B$2:$B$301,B78)&lt;&gt;1,"合作ID未唯一匹配",IF(COUNTIFS($B$2:$B$301,B78,$C$2:$C$301,C78,$D$2:$D$301,D78,$E$2:$E$301,E78,$F$2:$F$301,F78)&gt;1,"窗口重复：应更新原行",IF(AND(AD78="是",COUNTIFS($B$2:$B$301,B78,$C$2:$C$301,C78,$D$2:$D$301,D78,$AD$2:$AD$301,"是")&gt;1),"重复汇总：同视频SKU仅选一行",IF(AND(AC78="已复盘",AD78="是",ISNUMBER(Y78),AE78&lt;&gt;""),"可汇总","观察中/未完成结算核对"))))))))</f>
        <v/>
      </c>
      <c r="AG78" s="9">
        <f>IF(C78="","",IF(OR(H78="",I78=""),"待补充",IF(COUNTIFS($C$2:$C$301,C78,$H$2:$H$301,H78,$I$2:$I$301,I78)&lt;&gt;COUNTIF($C$2:$C$301,C78),"请统一日期/负责人",IF(COUNTIF($C$2:C78,C78)=1,1,0))))</f>
        <v/>
      </c>
    </row>
    <row r="79" spans="25:33" ht="34" customHeight="1">
      <c r="Y79" s="10">
        <f>IF(A79="","",IF(COUNT(P79,R79:S79,U79:X79)&lt;7,"待补充",IF(MIN(P79,R79:S79,U79:X79)&lt;0,"检查输入",ROUND(P79-SUM(R79:S79)-SUM(U79:X79),4))))</f>
        <v/>
      </c>
      <c r="AF79" s="9">
        <f>IF(A79="","",IF(COUNTIF($A$2:$A$301,A79)&gt;1,"归因记录ID重复",IF(OR(B79="",C79="",D79="",H79="",COUNT(E79:G79)&lt;3,I79="",Z79=""),"待补归因/证据/日期",IF(F79&lt;E79,"窗口起止错误",IF(COUNTIF('达人线索与合作'!$B$2:$B$301,B79)&lt;&gt;1,"合作ID未唯一匹配",IF(COUNTIFS($B$2:$B$301,B79,$C$2:$C$301,C79,$D$2:$D$301,D79,$E$2:$E$301,E79,$F$2:$F$301,F79)&gt;1,"窗口重复：应更新原行",IF(AND(AD79="是",COUNTIFS($B$2:$B$301,B79,$C$2:$C$301,C79,$D$2:$D$301,D79,$AD$2:$AD$301,"是")&gt;1),"重复汇总：同视频SKU仅选一行",IF(AND(AC79="已复盘",AD79="是",ISNUMBER(Y79),AE79&lt;&gt;""),"可汇总","观察中/未完成结算核对"))))))))</f>
        <v/>
      </c>
      <c r="AG79" s="9">
        <f>IF(C79="","",IF(OR(H79="",I79=""),"待补充",IF(COUNTIFS($C$2:$C$301,C79,$H$2:$H$301,H79,$I$2:$I$301,I79)&lt;&gt;COUNTIF($C$2:$C$301,C79),"请统一日期/负责人",IF(COUNTIF($C$2:C79,C79)=1,1,0))))</f>
        <v/>
      </c>
    </row>
    <row r="80" spans="25:33" ht="34" customHeight="1">
      <c r="Y80" s="10">
        <f>IF(A80="","",IF(COUNT(P80,R80:S80,U80:X80)&lt;7,"待补充",IF(MIN(P80,R80:S80,U80:X80)&lt;0,"检查输入",ROUND(P80-SUM(R80:S80)-SUM(U80:X80),4))))</f>
        <v/>
      </c>
      <c r="AF80" s="9">
        <f>IF(A80="","",IF(COUNTIF($A$2:$A$301,A80)&gt;1,"归因记录ID重复",IF(OR(B80="",C80="",D80="",H80="",COUNT(E80:G80)&lt;3,I80="",Z80=""),"待补归因/证据/日期",IF(F80&lt;E80,"窗口起止错误",IF(COUNTIF('达人线索与合作'!$B$2:$B$301,B80)&lt;&gt;1,"合作ID未唯一匹配",IF(COUNTIFS($B$2:$B$301,B80,$C$2:$C$301,C80,$D$2:$D$301,D80,$E$2:$E$301,E80,$F$2:$F$301,F80)&gt;1,"窗口重复：应更新原行",IF(AND(AD80="是",COUNTIFS($B$2:$B$301,B80,$C$2:$C$301,C80,$D$2:$D$301,D80,$AD$2:$AD$301,"是")&gt;1),"重复汇总：同视频SKU仅选一行",IF(AND(AC80="已复盘",AD80="是",ISNUMBER(Y80),AE80&lt;&gt;""),"可汇总","观察中/未完成结算核对"))))))))</f>
        <v/>
      </c>
      <c r="AG80" s="9">
        <f>IF(C80="","",IF(OR(H80="",I80=""),"待补充",IF(COUNTIFS($C$2:$C$301,C80,$H$2:$H$301,H80,$I$2:$I$301,I80)&lt;&gt;COUNTIF($C$2:$C$301,C80),"请统一日期/负责人",IF(COUNTIF($C$2:C80,C80)=1,1,0))))</f>
        <v/>
      </c>
    </row>
    <row r="81" spans="25:33" ht="34" customHeight="1">
      <c r="Y81" s="10">
        <f>IF(A81="","",IF(COUNT(P81,R81:S81,U81:X81)&lt;7,"待补充",IF(MIN(P81,R81:S81,U81:X81)&lt;0,"检查输入",ROUND(P81-SUM(R81:S81)-SUM(U81:X81),4))))</f>
        <v/>
      </c>
      <c r="AF81" s="9">
        <f>IF(A81="","",IF(COUNTIF($A$2:$A$301,A81)&gt;1,"归因记录ID重复",IF(OR(B81="",C81="",D81="",H81="",COUNT(E81:G81)&lt;3,I81="",Z81=""),"待补归因/证据/日期",IF(F81&lt;E81,"窗口起止错误",IF(COUNTIF('达人线索与合作'!$B$2:$B$301,B81)&lt;&gt;1,"合作ID未唯一匹配",IF(COUNTIFS($B$2:$B$301,B81,$C$2:$C$301,C81,$D$2:$D$301,D81,$E$2:$E$301,E81,$F$2:$F$301,F81)&gt;1,"窗口重复：应更新原行",IF(AND(AD81="是",COUNTIFS($B$2:$B$301,B81,$C$2:$C$301,C81,$D$2:$D$301,D81,$AD$2:$AD$301,"是")&gt;1),"重复汇总：同视频SKU仅选一行",IF(AND(AC81="已复盘",AD81="是",ISNUMBER(Y81),AE81&lt;&gt;""),"可汇总","观察中/未完成结算核对"))))))))</f>
        <v/>
      </c>
      <c r="AG81" s="9">
        <f>IF(C81="","",IF(OR(H81="",I81=""),"待补充",IF(COUNTIFS($C$2:$C$301,C81,$H$2:$H$301,H81,$I$2:$I$301,I81)&lt;&gt;COUNTIF($C$2:$C$301,C81),"请统一日期/负责人",IF(COUNTIF($C$2:C81,C81)=1,1,0))))</f>
        <v/>
      </c>
    </row>
    <row r="82" spans="25:33" ht="34" customHeight="1">
      <c r="Y82" s="10">
        <f>IF(A82="","",IF(COUNT(P82,R82:S82,U82:X82)&lt;7,"待补充",IF(MIN(P82,R82:S82,U82:X82)&lt;0,"检查输入",ROUND(P82-SUM(R82:S82)-SUM(U82:X82),4))))</f>
        <v/>
      </c>
      <c r="AF82" s="9">
        <f>IF(A82="","",IF(COUNTIF($A$2:$A$301,A82)&gt;1,"归因记录ID重复",IF(OR(B82="",C82="",D82="",H82="",COUNT(E82:G82)&lt;3,I82="",Z82=""),"待补归因/证据/日期",IF(F82&lt;E82,"窗口起止错误",IF(COUNTIF('达人线索与合作'!$B$2:$B$301,B82)&lt;&gt;1,"合作ID未唯一匹配",IF(COUNTIFS($B$2:$B$301,B82,$C$2:$C$301,C82,$D$2:$D$301,D82,$E$2:$E$301,E82,$F$2:$F$301,F82)&gt;1,"窗口重复：应更新原行",IF(AND(AD82="是",COUNTIFS($B$2:$B$301,B82,$C$2:$C$301,C82,$D$2:$D$301,D82,$AD$2:$AD$301,"是")&gt;1),"重复汇总：同视频SKU仅选一行",IF(AND(AC82="已复盘",AD82="是",ISNUMBER(Y82),AE82&lt;&gt;""),"可汇总","观察中/未完成结算核对"))))))))</f>
        <v/>
      </c>
      <c r="AG82" s="9">
        <f>IF(C82="","",IF(OR(H82="",I82=""),"待补充",IF(COUNTIFS($C$2:$C$301,C82,$H$2:$H$301,H82,$I$2:$I$301,I82)&lt;&gt;COUNTIF($C$2:$C$301,C82),"请统一日期/负责人",IF(COUNTIF($C$2:C82,C82)=1,1,0))))</f>
        <v/>
      </c>
    </row>
    <row r="83" spans="25:33" ht="34" customHeight="1">
      <c r="Y83" s="10">
        <f>IF(A83="","",IF(COUNT(P83,R83:S83,U83:X83)&lt;7,"待补充",IF(MIN(P83,R83:S83,U83:X83)&lt;0,"检查输入",ROUND(P83-SUM(R83:S83)-SUM(U83:X83),4))))</f>
        <v/>
      </c>
      <c r="AF83" s="9">
        <f>IF(A83="","",IF(COUNTIF($A$2:$A$301,A83)&gt;1,"归因记录ID重复",IF(OR(B83="",C83="",D83="",H83="",COUNT(E83:G83)&lt;3,I83="",Z83=""),"待补归因/证据/日期",IF(F83&lt;E83,"窗口起止错误",IF(COUNTIF('达人线索与合作'!$B$2:$B$301,B83)&lt;&gt;1,"合作ID未唯一匹配",IF(COUNTIFS($B$2:$B$301,B83,$C$2:$C$301,C83,$D$2:$D$301,D83,$E$2:$E$301,E83,$F$2:$F$301,F83)&gt;1,"窗口重复：应更新原行",IF(AND(AD83="是",COUNTIFS($B$2:$B$301,B83,$C$2:$C$301,C83,$D$2:$D$301,D83,$AD$2:$AD$301,"是")&gt;1),"重复汇总：同视频SKU仅选一行",IF(AND(AC83="已复盘",AD83="是",ISNUMBER(Y83),AE83&lt;&gt;""),"可汇总","观察中/未完成结算核对"))))))))</f>
        <v/>
      </c>
      <c r="AG83" s="9">
        <f>IF(C83="","",IF(OR(H83="",I83=""),"待补充",IF(COUNTIFS($C$2:$C$301,C83,$H$2:$H$301,H83,$I$2:$I$301,I83)&lt;&gt;COUNTIF($C$2:$C$301,C83),"请统一日期/负责人",IF(COUNTIF($C$2:C83,C83)=1,1,0))))</f>
        <v/>
      </c>
    </row>
    <row r="84" spans="25:33" ht="34" customHeight="1">
      <c r="Y84" s="10">
        <f>IF(A84="","",IF(COUNT(P84,R84:S84,U84:X84)&lt;7,"待补充",IF(MIN(P84,R84:S84,U84:X84)&lt;0,"检查输入",ROUND(P84-SUM(R84:S84)-SUM(U84:X84),4))))</f>
        <v/>
      </c>
      <c r="AF84" s="9">
        <f>IF(A84="","",IF(COUNTIF($A$2:$A$301,A84)&gt;1,"归因记录ID重复",IF(OR(B84="",C84="",D84="",H84="",COUNT(E84:G84)&lt;3,I84="",Z84=""),"待补归因/证据/日期",IF(F84&lt;E84,"窗口起止错误",IF(COUNTIF('达人线索与合作'!$B$2:$B$301,B84)&lt;&gt;1,"合作ID未唯一匹配",IF(COUNTIFS($B$2:$B$301,B84,$C$2:$C$301,C84,$D$2:$D$301,D84,$E$2:$E$301,E84,$F$2:$F$301,F84)&gt;1,"窗口重复：应更新原行",IF(AND(AD84="是",COUNTIFS($B$2:$B$301,B84,$C$2:$C$301,C84,$D$2:$D$301,D84,$AD$2:$AD$301,"是")&gt;1),"重复汇总：同视频SKU仅选一行",IF(AND(AC84="已复盘",AD84="是",ISNUMBER(Y84),AE84&lt;&gt;""),"可汇总","观察中/未完成结算核对"))))))))</f>
        <v/>
      </c>
      <c r="AG84" s="9">
        <f>IF(C84="","",IF(OR(H84="",I84=""),"待补充",IF(COUNTIFS($C$2:$C$301,C84,$H$2:$H$301,H84,$I$2:$I$301,I84)&lt;&gt;COUNTIF($C$2:$C$301,C84),"请统一日期/负责人",IF(COUNTIF($C$2:C84,C84)=1,1,0))))</f>
        <v/>
      </c>
    </row>
    <row r="85" spans="25:33" ht="34" customHeight="1">
      <c r="Y85" s="10">
        <f>IF(A85="","",IF(COUNT(P85,R85:S85,U85:X85)&lt;7,"待补充",IF(MIN(P85,R85:S85,U85:X85)&lt;0,"检查输入",ROUND(P85-SUM(R85:S85)-SUM(U85:X85),4))))</f>
        <v/>
      </c>
      <c r="AF85" s="9">
        <f>IF(A85="","",IF(COUNTIF($A$2:$A$301,A85)&gt;1,"归因记录ID重复",IF(OR(B85="",C85="",D85="",H85="",COUNT(E85:G85)&lt;3,I85="",Z85=""),"待补归因/证据/日期",IF(F85&lt;E85,"窗口起止错误",IF(COUNTIF('达人线索与合作'!$B$2:$B$301,B85)&lt;&gt;1,"合作ID未唯一匹配",IF(COUNTIFS($B$2:$B$301,B85,$C$2:$C$301,C85,$D$2:$D$301,D85,$E$2:$E$301,E85,$F$2:$F$301,F85)&gt;1,"窗口重复：应更新原行",IF(AND(AD85="是",COUNTIFS($B$2:$B$301,B85,$C$2:$C$301,C85,$D$2:$D$301,D85,$AD$2:$AD$301,"是")&gt;1),"重复汇总：同视频SKU仅选一行",IF(AND(AC85="已复盘",AD85="是",ISNUMBER(Y85),AE85&lt;&gt;""),"可汇总","观察中/未完成结算核对"))))))))</f>
        <v/>
      </c>
      <c r="AG85" s="9">
        <f>IF(C85="","",IF(OR(H85="",I85=""),"待补充",IF(COUNTIFS($C$2:$C$301,C85,$H$2:$H$301,H85,$I$2:$I$301,I85)&lt;&gt;COUNTIF($C$2:$C$301,C85),"请统一日期/负责人",IF(COUNTIF($C$2:C85,C85)=1,1,0))))</f>
        <v/>
      </c>
    </row>
    <row r="86" spans="25:33" ht="34" customHeight="1">
      <c r="Y86" s="10">
        <f>IF(A86="","",IF(COUNT(P86,R86:S86,U86:X86)&lt;7,"待补充",IF(MIN(P86,R86:S86,U86:X86)&lt;0,"检查输入",ROUND(P86-SUM(R86:S86)-SUM(U86:X86),4))))</f>
        <v/>
      </c>
      <c r="AF86" s="9">
        <f>IF(A86="","",IF(COUNTIF($A$2:$A$301,A86)&gt;1,"归因记录ID重复",IF(OR(B86="",C86="",D86="",H86="",COUNT(E86:G86)&lt;3,I86="",Z86=""),"待补归因/证据/日期",IF(F86&lt;E86,"窗口起止错误",IF(COUNTIF('达人线索与合作'!$B$2:$B$301,B86)&lt;&gt;1,"合作ID未唯一匹配",IF(COUNTIFS($B$2:$B$301,B86,$C$2:$C$301,C86,$D$2:$D$301,D86,$E$2:$E$301,E86,$F$2:$F$301,F86)&gt;1,"窗口重复：应更新原行",IF(AND(AD86="是",COUNTIFS($B$2:$B$301,B86,$C$2:$C$301,C86,$D$2:$D$301,D86,$AD$2:$AD$301,"是")&gt;1),"重复汇总：同视频SKU仅选一行",IF(AND(AC86="已复盘",AD86="是",ISNUMBER(Y86),AE86&lt;&gt;""),"可汇总","观察中/未完成结算核对"))))))))</f>
        <v/>
      </c>
      <c r="AG86" s="9">
        <f>IF(C86="","",IF(OR(H86="",I86=""),"待补充",IF(COUNTIFS($C$2:$C$301,C86,$H$2:$H$301,H86,$I$2:$I$301,I86)&lt;&gt;COUNTIF($C$2:$C$301,C86),"请统一日期/负责人",IF(COUNTIF($C$2:C86,C86)=1,1,0))))</f>
        <v/>
      </c>
    </row>
    <row r="87" spans="25:33" ht="34" customHeight="1">
      <c r="Y87" s="10">
        <f>IF(A87="","",IF(COUNT(P87,R87:S87,U87:X87)&lt;7,"待补充",IF(MIN(P87,R87:S87,U87:X87)&lt;0,"检查输入",ROUND(P87-SUM(R87:S87)-SUM(U87:X87),4))))</f>
        <v/>
      </c>
      <c r="AF87" s="9">
        <f>IF(A87="","",IF(COUNTIF($A$2:$A$301,A87)&gt;1,"归因记录ID重复",IF(OR(B87="",C87="",D87="",H87="",COUNT(E87:G87)&lt;3,I87="",Z87=""),"待补归因/证据/日期",IF(F87&lt;E87,"窗口起止错误",IF(COUNTIF('达人线索与合作'!$B$2:$B$301,B87)&lt;&gt;1,"合作ID未唯一匹配",IF(COUNTIFS($B$2:$B$301,B87,$C$2:$C$301,C87,$D$2:$D$301,D87,$E$2:$E$301,E87,$F$2:$F$301,F87)&gt;1,"窗口重复：应更新原行",IF(AND(AD87="是",COUNTIFS($B$2:$B$301,B87,$C$2:$C$301,C87,$D$2:$D$301,D87,$AD$2:$AD$301,"是")&gt;1),"重复汇总：同视频SKU仅选一行",IF(AND(AC87="已复盘",AD87="是",ISNUMBER(Y87),AE87&lt;&gt;""),"可汇总","观察中/未完成结算核对"))))))))</f>
        <v/>
      </c>
      <c r="AG87" s="9">
        <f>IF(C87="","",IF(OR(H87="",I87=""),"待补充",IF(COUNTIFS($C$2:$C$301,C87,$H$2:$H$301,H87,$I$2:$I$301,I87)&lt;&gt;COUNTIF($C$2:$C$301,C87),"请统一日期/负责人",IF(COUNTIF($C$2:C87,C87)=1,1,0))))</f>
        <v/>
      </c>
    </row>
    <row r="88" spans="25:33" ht="34" customHeight="1">
      <c r="Y88" s="10">
        <f>IF(A88="","",IF(COUNT(P88,R88:S88,U88:X88)&lt;7,"待补充",IF(MIN(P88,R88:S88,U88:X88)&lt;0,"检查输入",ROUND(P88-SUM(R88:S88)-SUM(U88:X88),4))))</f>
        <v/>
      </c>
      <c r="AF88" s="9">
        <f>IF(A88="","",IF(COUNTIF($A$2:$A$301,A88)&gt;1,"归因记录ID重复",IF(OR(B88="",C88="",D88="",H88="",COUNT(E88:G88)&lt;3,I88="",Z88=""),"待补归因/证据/日期",IF(F88&lt;E88,"窗口起止错误",IF(COUNTIF('达人线索与合作'!$B$2:$B$301,B88)&lt;&gt;1,"合作ID未唯一匹配",IF(COUNTIFS($B$2:$B$301,B88,$C$2:$C$301,C88,$D$2:$D$301,D88,$E$2:$E$301,E88,$F$2:$F$301,F88)&gt;1,"窗口重复：应更新原行",IF(AND(AD88="是",COUNTIFS($B$2:$B$301,B88,$C$2:$C$301,C88,$D$2:$D$301,D88,$AD$2:$AD$301,"是")&gt;1),"重复汇总：同视频SKU仅选一行",IF(AND(AC88="已复盘",AD88="是",ISNUMBER(Y88),AE88&lt;&gt;""),"可汇总","观察中/未完成结算核对"))))))))</f>
        <v/>
      </c>
      <c r="AG88" s="9">
        <f>IF(C88="","",IF(OR(H88="",I88=""),"待补充",IF(COUNTIFS($C$2:$C$301,C88,$H$2:$H$301,H88,$I$2:$I$301,I88)&lt;&gt;COUNTIF($C$2:$C$301,C88),"请统一日期/负责人",IF(COUNTIF($C$2:C88,C88)=1,1,0))))</f>
        <v/>
      </c>
    </row>
    <row r="89" spans="25:33" ht="34" customHeight="1">
      <c r="Y89" s="10">
        <f>IF(A89="","",IF(COUNT(P89,R89:S89,U89:X89)&lt;7,"待补充",IF(MIN(P89,R89:S89,U89:X89)&lt;0,"检查输入",ROUND(P89-SUM(R89:S89)-SUM(U89:X89),4))))</f>
        <v/>
      </c>
      <c r="AF89" s="9">
        <f>IF(A89="","",IF(COUNTIF($A$2:$A$301,A89)&gt;1,"归因记录ID重复",IF(OR(B89="",C89="",D89="",H89="",COUNT(E89:G89)&lt;3,I89="",Z89=""),"待补归因/证据/日期",IF(F89&lt;E89,"窗口起止错误",IF(COUNTIF('达人线索与合作'!$B$2:$B$301,B89)&lt;&gt;1,"合作ID未唯一匹配",IF(COUNTIFS($B$2:$B$301,B89,$C$2:$C$301,C89,$D$2:$D$301,D89,$E$2:$E$301,E89,$F$2:$F$301,F89)&gt;1,"窗口重复：应更新原行",IF(AND(AD89="是",COUNTIFS($B$2:$B$301,B89,$C$2:$C$301,C89,$D$2:$D$301,D89,$AD$2:$AD$301,"是")&gt;1),"重复汇总：同视频SKU仅选一行",IF(AND(AC89="已复盘",AD89="是",ISNUMBER(Y89),AE89&lt;&gt;""),"可汇总","观察中/未完成结算核对"))))))))</f>
        <v/>
      </c>
      <c r="AG89" s="9">
        <f>IF(C89="","",IF(OR(H89="",I89=""),"待补充",IF(COUNTIFS($C$2:$C$301,C89,$H$2:$H$301,H89,$I$2:$I$301,I89)&lt;&gt;COUNTIF($C$2:$C$301,C89),"请统一日期/负责人",IF(COUNTIF($C$2:C89,C89)=1,1,0))))</f>
        <v/>
      </c>
    </row>
    <row r="90" spans="25:33" ht="34" customHeight="1">
      <c r="Y90" s="10">
        <f>IF(A90="","",IF(COUNT(P90,R90:S90,U90:X90)&lt;7,"待补充",IF(MIN(P90,R90:S90,U90:X90)&lt;0,"检查输入",ROUND(P90-SUM(R90:S90)-SUM(U90:X90),4))))</f>
        <v/>
      </c>
      <c r="AF90" s="9">
        <f>IF(A90="","",IF(COUNTIF($A$2:$A$301,A90)&gt;1,"归因记录ID重复",IF(OR(B90="",C90="",D90="",H90="",COUNT(E90:G90)&lt;3,I90="",Z90=""),"待补归因/证据/日期",IF(F90&lt;E90,"窗口起止错误",IF(COUNTIF('达人线索与合作'!$B$2:$B$301,B90)&lt;&gt;1,"合作ID未唯一匹配",IF(COUNTIFS($B$2:$B$301,B90,$C$2:$C$301,C90,$D$2:$D$301,D90,$E$2:$E$301,E90,$F$2:$F$301,F90)&gt;1,"窗口重复：应更新原行",IF(AND(AD90="是",COUNTIFS($B$2:$B$301,B90,$C$2:$C$301,C90,$D$2:$D$301,D90,$AD$2:$AD$301,"是")&gt;1),"重复汇总：同视频SKU仅选一行",IF(AND(AC90="已复盘",AD90="是",ISNUMBER(Y90),AE90&lt;&gt;""),"可汇总","观察中/未完成结算核对"))))))))</f>
        <v/>
      </c>
      <c r="AG90" s="9">
        <f>IF(C90="","",IF(OR(H90="",I90=""),"待补充",IF(COUNTIFS($C$2:$C$301,C90,$H$2:$H$301,H90,$I$2:$I$301,I90)&lt;&gt;COUNTIF($C$2:$C$301,C90),"请统一日期/负责人",IF(COUNTIF($C$2:C90,C90)=1,1,0))))</f>
        <v/>
      </c>
    </row>
    <row r="91" spans="25:33" ht="34" customHeight="1">
      <c r="Y91" s="10">
        <f>IF(A91="","",IF(COUNT(P91,R91:S91,U91:X91)&lt;7,"待补充",IF(MIN(P91,R91:S91,U91:X91)&lt;0,"检查输入",ROUND(P91-SUM(R91:S91)-SUM(U91:X91),4))))</f>
        <v/>
      </c>
      <c r="AF91" s="9">
        <f>IF(A91="","",IF(COUNTIF($A$2:$A$301,A91)&gt;1,"归因记录ID重复",IF(OR(B91="",C91="",D91="",H91="",COUNT(E91:G91)&lt;3,I91="",Z91=""),"待补归因/证据/日期",IF(F91&lt;E91,"窗口起止错误",IF(COUNTIF('达人线索与合作'!$B$2:$B$301,B91)&lt;&gt;1,"合作ID未唯一匹配",IF(COUNTIFS($B$2:$B$301,B91,$C$2:$C$301,C91,$D$2:$D$301,D91,$E$2:$E$301,E91,$F$2:$F$301,F91)&gt;1,"窗口重复：应更新原行",IF(AND(AD91="是",COUNTIFS($B$2:$B$301,B91,$C$2:$C$301,C91,$D$2:$D$301,D91,$AD$2:$AD$301,"是")&gt;1),"重复汇总：同视频SKU仅选一行",IF(AND(AC91="已复盘",AD91="是",ISNUMBER(Y91),AE91&lt;&gt;""),"可汇总","观察中/未完成结算核对"))))))))</f>
        <v/>
      </c>
      <c r="AG91" s="9">
        <f>IF(C91="","",IF(OR(H91="",I91=""),"待补充",IF(COUNTIFS($C$2:$C$301,C91,$H$2:$H$301,H91,$I$2:$I$301,I91)&lt;&gt;COUNTIF($C$2:$C$301,C91),"请统一日期/负责人",IF(COUNTIF($C$2:C91,C91)=1,1,0))))</f>
        <v/>
      </c>
    </row>
    <row r="92" spans="25:33" ht="34" customHeight="1">
      <c r="Y92" s="10">
        <f>IF(A92="","",IF(COUNT(P92,R92:S92,U92:X92)&lt;7,"待补充",IF(MIN(P92,R92:S92,U92:X92)&lt;0,"检查输入",ROUND(P92-SUM(R92:S92)-SUM(U92:X92),4))))</f>
        <v/>
      </c>
      <c r="AF92" s="9">
        <f>IF(A92="","",IF(COUNTIF($A$2:$A$301,A92)&gt;1,"归因记录ID重复",IF(OR(B92="",C92="",D92="",H92="",COUNT(E92:G92)&lt;3,I92="",Z92=""),"待补归因/证据/日期",IF(F92&lt;E92,"窗口起止错误",IF(COUNTIF('达人线索与合作'!$B$2:$B$301,B92)&lt;&gt;1,"合作ID未唯一匹配",IF(COUNTIFS($B$2:$B$301,B92,$C$2:$C$301,C92,$D$2:$D$301,D92,$E$2:$E$301,E92,$F$2:$F$301,F92)&gt;1,"窗口重复：应更新原行",IF(AND(AD92="是",COUNTIFS($B$2:$B$301,B92,$C$2:$C$301,C92,$D$2:$D$301,D92,$AD$2:$AD$301,"是")&gt;1),"重复汇总：同视频SKU仅选一行",IF(AND(AC92="已复盘",AD92="是",ISNUMBER(Y92),AE92&lt;&gt;""),"可汇总","观察中/未完成结算核对"))))))))</f>
        <v/>
      </c>
      <c r="AG92" s="9">
        <f>IF(C92="","",IF(OR(H92="",I92=""),"待补充",IF(COUNTIFS($C$2:$C$301,C92,$H$2:$H$301,H92,$I$2:$I$301,I92)&lt;&gt;COUNTIF($C$2:$C$301,C92),"请统一日期/负责人",IF(COUNTIF($C$2:C92,C92)=1,1,0))))</f>
        <v/>
      </c>
    </row>
    <row r="93" spans="25:33" ht="34" customHeight="1">
      <c r="Y93" s="10">
        <f>IF(A93="","",IF(COUNT(P93,R93:S93,U93:X93)&lt;7,"待补充",IF(MIN(P93,R93:S93,U93:X93)&lt;0,"检查输入",ROUND(P93-SUM(R93:S93)-SUM(U93:X93),4))))</f>
        <v/>
      </c>
      <c r="AF93" s="9">
        <f>IF(A93="","",IF(COUNTIF($A$2:$A$301,A93)&gt;1,"归因记录ID重复",IF(OR(B93="",C93="",D93="",H93="",COUNT(E93:G93)&lt;3,I93="",Z93=""),"待补归因/证据/日期",IF(F93&lt;E93,"窗口起止错误",IF(COUNTIF('达人线索与合作'!$B$2:$B$301,B93)&lt;&gt;1,"合作ID未唯一匹配",IF(COUNTIFS($B$2:$B$301,B93,$C$2:$C$301,C93,$D$2:$D$301,D93,$E$2:$E$301,E93,$F$2:$F$301,F93)&gt;1,"窗口重复：应更新原行",IF(AND(AD93="是",COUNTIFS($B$2:$B$301,B93,$C$2:$C$301,C93,$D$2:$D$301,D93,$AD$2:$AD$301,"是")&gt;1),"重复汇总：同视频SKU仅选一行",IF(AND(AC93="已复盘",AD93="是",ISNUMBER(Y93),AE93&lt;&gt;""),"可汇总","观察中/未完成结算核对"))))))))</f>
        <v/>
      </c>
      <c r="AG93" s="9">
        <f>IF(C93="","",IF(OR(H93="",I93=""),"待补充",IF(COUNTIFS($C$2:$C$301,C93,$H$2:$H$301,H93,$I$2:$I$301,I93)&lt;&gt;COUNTIF($C$2:$C$301,C93),"请统一日期/负责人",IF(COUNTIF($C$2:C93,C93)=1,1,0))))</f>
        <v/>
      </c>
    </row>
    <row r="94" spans="25:33" ht="34" customHeight="1">
      <c r="Y94" s="10">
        <f>IF(A94="","",IF(COUNT(P94,R94:S94,U94:X94)&lt;7,"待补充",IF(MIN(P94,R94:S94,U94:X94)&lt;0,"检查输入",ROUND(P94-SUM(R94:S94)-SUM(U94:X94),4))))</f>
        <v/>
      </c>
      <c r="AF94" s="9">
        <f>IF(A94="","",IF(COUNTIF($A$2:$A$301,A94)&gt;1,"归因记录ID重复",IF(OR(B94="",C94="",D94="",H94="",COUNT(E94:G94)&lt;3,I94="",Z94=""),"待补归因/证据/日期",IF(F94&lt;E94,"窗口起止错误",IF(COUNTIF('达人线索与合作'!$B$2:$B$301,B94)&lt;&gt;1,"合作ID未唯一匹配",IF(COUNTIFS($B$2:$B$301,B94,$C$2:$C$301,C94,$D$2:$D$301,D94,$E$2:$E$301,E94,$F$2:$F$301,F94)&gt;1,"窗口重复：应更新原行",IF(AND(AD94="是",COUNTIFS($B$2:$B$301,B94,$C$2:$C$301,C94,$D$2:$D$301,D94,$AD$2:$AD$301,"是")&gt;1),"重复汇总：同视频SKU仅选一行",IF(AND(AC94="已复盘",AD94="是",ISNUMBER(Y94),AE94&lt;&gt;""),"可汇总","观察中/未完成结算核对"))))))))</f>
        <v/>
      </c>
      <c r="AG94" s="9">
        <f>IF(C94="","",IF(OR(H94="",I94=""),"待补充",IF(COUNTIFS($C$2:$C$301,C94,$H$2:$H$301,H94,$I$2:$I$301,I94)&lt;&gt;COUNTIF($C$2:$C$301,C94),"请统一日期/负责人",IF(COUNTIF($C$2:C94,C94)=1,1,0))))</f>
        <v/>
      </c>
    </row>
    <row r="95" spans="25:33" ht="34" customHeight="1">
      <c r="Y95" s="10">
        <f>IF(A95="","",IF(COUNT(P95,R95:S95,U95:X95)&lt;7,"待补充",IF(MIN(P95,R95:S95,U95:X95)&lt;0,"检查输入",ROUND(P95-SUM(R95:S95)-SUM(U95:X95),4))))</f>
        <v/>
      </c>
      <c r="AF95" s="9">
        <f>IF(A95="","",IF(COUNTIF($A$2:$A$301,A95)&gt;1,"归因记录ID重复",IF(OR(B95="",C95="",D95="",H95="",COUNT(E95:G95)&lt;3,I95="",Z95=""),"待补归因/证据/日期",IF(F95&lt;E95,"窗口起止错误",IF(COUNTIF('达人线索与合作'!$B$2:$B$301,B95)&lt;&gt;1,"合作ID未唯一匹配",IF(COUNTIFS($B$2:$B$301,B95,$C$2:$C$301,C95,$D$2:$D$301,D95,$E$2:$E$301,E95,$F$2:$F$301,F95)&gt;1,"窗口重复：应更新原行",IF(AND(AD95="是",COUNTIFS($B$2:$B$301,B95,$C$2:$C$301,C95,$D$2:$D$301,D95,$AD$2:$AD$301,"是")&gt;1),"重复汇总：同视频SKU仅选一行",IF(AND(AC95="已复盘",AD95="是",ISNUMBER(Y95),AE95&lt;&gt;""),"可汇总","观察中/未完成结算核对"))))))))</f>
        <v/>
      </c>
      <c r="AG95" s="9">
        <f>IF(C95="","",IF(OR(H95="",I95=""),"待补充",IF(COUNTIFS($C$2:$C$301,C95,$H$2:$H$301,H95,$I$2:$I$301,I95)&lt;&gt;COUNTIF($C$2:$C$301,C95),"请统一日期/负责人",IF(COUNTIF($C$2:C95,C95)=1,1,0))))</f>
        <v/>
      </c>
    </row>
    <row r="96" spans="25:33" ht="34" customHeight="1">
      <c r="Y96" s="10">
        <f>IF(A96="","",IF(COUNT(P96,R96:S96,U96:X96)&lt;7,"待补充",IF(MIN(P96,R96:S96,U96:X96)&lt;0,"检查输入",ROUND(P96-SUM(R96:S96)-SUM(U96:X96),4))))</f>
        <v/>
      </c>
      <c r="AF96" s="9">
        <f>IF(A96="","",IF(COUNTIF($A$2:$A$301,A96)&gt;1,"归因记录ID重复",IF(OR(B96="",C96="",D96="",H96="",COUNT(E96:G96)&lt;3,I96="",Z96=""),"待补归因/证据/日期",IF(F96&lt;E96,"窗口起止错误",IF(COUNTIF('达人线索与合作'!$B$2:$B$301,B96)&lt;&gt;1,"合作ID未唯一匹配",IF(COUNTIFS($B$2:$B$301,B96,$C$2:$C$301,C96,$D$2:$D$301,D96,$E$2:$E$301,E96,$F$2:$F$301,F96)&gt;1,"窗口重复：应更新原行",IF(AND(AD96="是",COUNTIFS($B$2:$B$301,B96,$C$2:$C$301,C96,$D$2:$D$301,D96,$AD$2:$AD$301,"是")&gt;1),"重复汇总：同视频SKU仅选一行",IF(AND(AC96="已复盘",AD96="是",ISNUMBER(Y96),AE96&lt;&gt;""),"可汇总","观察中/未完成结算核对"))))))))</f>
        <v/>
      </c>
      <c r="AG96" s="9">
        <f>IF(C96="","",IF(OR(H96="",I96=""),"待补充",IF(COUNTIFS($C$2:$C$301,C96,$H$2:$H$301,H96,$I$2:$I$301,I96)&lt;&gt;COUNTIF($C$2:$C$301,C96),"请统一日期/负责人",IF(COUNTIF($C$2:C96,C96)=1,1,0))))</f>
        <v/>
      </c>
    </row>
    <row r="97" spans="25:33" ht="34" customHeight="1">
      <c r="Y97" s="10">
        <f>IF(A97="","",IF(COUNT(P97,R97:S97,U97:X97)&lt;7,"待补充",IF(MIN(P97,R97:S97,U97:X97)&lt;0,"检查输入",ROUND(P97-SUM(R97:S97)-SUM(U97:X97),4))))</f>
        <v/>
      </c>
      <c r="AF97" s="9">
        <f>IF(A97="","",IF(COUNTIF($A$2:$A$301,A97)&gt;1,"归因记录ID重复",IF(OR(B97="",C97="",D97="",H97="",COUNT(E97:G97)&lt;3,I97="",Z97=""),"待补归因/证据/日期",IF(F97&lt;E97,"窗口起止错误",IF(COUNTIF('达人线索与合作'!$B$2:$B$301,B97)&lt;&gt;1,"合作ID未唯一匹配",IF(COUNTIFS($B$2:$B$301,B97,$C$2:$C$301,C97,$D$2:$D$301,D97,$E$2:$E$301,E97,$F$2:$F$301,F97)&gt;1,"窗口重复：应更新原行",IF(AND(AD97="是",COUNTIFS($B$2:$B$301,B97,$C$2:$C$301,C97,$D$2:$D$301,D97,$AD$2:$AD$301,"是")&gt;1),"重复汇总：同视频SKU仅选一行",IF(AND(AC97="已复盘",AD97="是",ISNUMBER(Y97),AE97&lt;&gt;""),"可汇总","观察中/未完成结算核对"))))))))</f>
        <v/>
      </c>
      <c r="AG97" s="9">
        <f>IF(C97="","",IF(OR(H97="",I97=""),"待补充",IF(COUNTIFS($C$2:$C$301,C97,$H$2:$H$301,H97,$I$2:$I$301,I97)&lt;&gt;COUNTIF($C$2:$C$301,C97),"请统一日期/负责人",IF(COUNTIF($C$2:C97,C97)=1,1,0))))</f>
        <v/>
      </c>
    </row>
    <row r="98" spans="25:33" ht="34" customHeight="1">
      <c r="Y98" s="10">
        <f>IF(A98="","",IF(COUNT(P98,R98:S98,U98:X98)&lt;7,"待补充",IF(MIN(P98,R98:S98,U98:X98)&lt;0,"检查输入",ROUND(P98-SUM(R98:S98)-SUM(U98:X98),4))))</f>
        <v/>
      </c>
      <c r="AF98" s="9">
        <f>IF(A98="","",IF(COUNTIF($A$2:$A$301,A98)&gt;1,"归因记录ID重复",IF(OR(B98="",C98="",D98="",H98="",COUNT(E98:G98)&lt;3,I98="",Z98=""),"待补归因/证据/日期",IF(F98&lt;E98,"窗口起止错误",IF(COUNTIF('达人线索与合作'!$B$2:$B$301,B98)&lt;&gt;1,"合作ID未唯一匹配",IF(COUNTIFS($B$2:$B$301,B98,$C$2:$C$301,C98,$D$2:$D$301,D98,$E$2:$E$301,E98,$F$2:$F$301,F98)&gt;1,"窗口重复：应更新原行",IF(AND(AD98="是",COUNTIFS($B$2:$B$301,B98,$C$2:$C$301,C98,$D$2:$D$301,D98,$AD$2:$AD$301,"是")&gt;1),"重复汇总：同视频SKU仅选一行",IF(AND(AC98="已复盘",AD98="是",ISNUMBER(Y98),AE98&lt;&gt;""),"可汇总","观察中/未完成结算核对"))))))))</f>
        <v/>
      </c>
      <c r="AG98" s="9">
        <f>IF(C98="","",IF(OR(H98="",I98=""),"待补充",IF(COUNTIFS($C$2:$C$301,C98,$H$2:$H$301,H98,$I$2:$I$301,I98)&lt;&gt;COUNTIF($C$2:$C$301,C98),"请统一日期/负责人",IF(COUNTIF($C$2:C98,C98)=1,1,0))))</f>
        <v/>
      </c>
    </row>
    <row r="99" spans="25:33" ht="34" customHeight="1">
      <c r="Y99" s="10">
        <f>IF(A99="","",IF(COUNT(P99,R99:S99,U99:X99)&lt;7,"待补充",IF(MIN(P99,R99:S99,U99:X99)&lt;0,"检查输入",ROUND(P99-SUM(R99:S99)-SUM(U99:X99),4))))</f>
        <v/>
      </c>
      <c r="AF99" s="9">
        <f>IF(A99="","",IF(COUNTIF($A$2:$A$301,A99)&gt;1,"归因记录ID重复",IF(OR(B99="",C99="",D99="",H99="",COUNT(E99:G99)&lt;3,I99="",Z99=""),"待补归因/证据/日期",IF(F99&lt;E99,"窗口起止错误",IF(COUNTIF('达人线索与合作'!$B$2:$B$301,B99)&lt;&gt;1,"合作ID未唯一匹配",IF(COUNTIFS($B$2:$B$301,B99,$C$2:$C$301,C99,$D$2:$D$301,D99,$E$2:$E$301,E99,$F$2:$F$301,F99)&gt;1,"窗口重复：应更新原行",IF(AND(AD99="是",COUNTIFS($B$2:$B$301,B99,$C$2:$C$301,C99,$D$2:$D$301,D99,$AD$2:$AD$301,"是")&gt;1),"重复汇总：同视频SKU仅选一行",IF(AND(AC99="已复盘",AD99="是",ISNUMBER(Y99),AE99&lt;&gt;""),"可汇总","观察中/未完成结算核对"))))))))</f>
        <v/>
      </c>
      <c r="AG99" s="9">
        <f>IF(C99="","",IF(OR(H99="",I99=""),"待补充",IF(COUNTIFS($C$2:$C$301,C99,$H$2:$H$301,H99,$I$2:$I$301,I99)&lt;&gt;COUNTIF($C$2:$C$301,C99),"请统一日期/负责人",IF(COUNTIF($C$2:C99,C99)=1,1,0))))</f>
        <v/>
      </c>
    </row>
    <row r="100" spans="25:33" ht="34" customHeight="1">
      <c r="Y100" s="10">
        <f>IF(A100="","",IF(COUNT(P100,R100:S100,U100:X100)&lt;7,"待补充",IF(MIN(P100,R100:S100,U100:X100)&lt;0,"检查输入",ROUND(P100-SUM(R100:S100)-SUM(U100:X100),4))))</f>
        <v/>
      </c>
      <c r="AF100" s="9">
        <f>IF(A100="","",IF(COUNTIF($A$2:$A$301,A100)&gt;1,"归因记录ID重复",IF(OR(B100="",C100="",D100="",H100="",COUNT(E100:G100)&lt;3,I100="",Z100=""),"待补归因/证据/日期",IF(F100&lt;E100,"窗口起止错误",IF(COUNTIF('达人线索与合作'!$B$2:$B$301,B100)&lt;&gt;1,"合作ID未唯一匹配",IF(COUNTIFS($B$2:$B$301,B100,$C$2:$C$301,C100,$D$2:$D$301,D100,$E$2:$E$301,E100,$F$2:$F$301,F100)&gt;1,"窗口重复：应更新原行",IF(AND(AD100="是",COUNTIFS($B$2:$B$301,B100,$C$2:$C$301,C100,$D$2:$D$301,D100,$AD$2:$AD$301,"是")&gt;1),"重复汇总：同视频SKU仅选一行",IF(AND(AC100="已复盘",AD100="是",ISNUMBER(Y100),AE100&lt;&gt;""),"可汇总","观察中/未完成结算核对"))))))))</f>
        <v/>
      </c>
      <c r="AG100" s="9">
        <f>IF(C100="","",IF(OR(H100="",I100=""),"待补充",IF(COUNTIFS($C$2:$C$301,C100,$H$2:$H$301,H100,$I$2:$I$301,I100)&lt;&gt;COUNTIF($C$2:$C$301,C100),"请统一日期/负责人",IF(COUNTIF($C$2:C100,C100)=1,1,0))))</f>
        <v/>
      </c>
    </row>
    <row r="101" spans="25:33" ht="34" customHeight="1">
      <c r="Y101" s="10">
        <f>IF(A101="","",IF(COUNT(P101,R101:S101,U101:X101)&lt;7,"待补充",IF(MIN(P101,R101:S101,U101:X101)&lt;0,"检查输入",ROUND(P101-SUM(R101:S101)-SUM(U101:X101),4))))</f>
        <v/>
      </c>
      <c r="AF101" s="9">
        <f>IF(A101="","",IF(COUNTIF($A$2:$A$301,A101)&gt;1,"归因记录ID重复",IF(OR(B101="",C101="",D101="",H101="",COUNT(E101:G101)&lt;3,I101="",Z101=""),"待补归因/证据/日期",IF(F101&lt;E101,"窗口起止错误",IF(COUNTIF('达人线索与合作'!$B$2:$B$301,B101)&lt;&gt;1,"合作ID未唯一匹配",IF(COUNTIFS($B$2:$B$301,B101,$C$2:$C$301,C101,$D$2:$D$301,D101,$E$2:$E$301,E101,$F$2:$F$301,F101)&gt;1,"窗口重复：应更新原行",IF(AND(AD101="是",COUNTIFS($B$2:$B$301,B101,$C$2:$C$301,C101,$D$2:$D$301,D101,$AD$2:$AD$301,"是")&gt;1),"重复汇总：同视频SKU仅选一行",IF(AND(AC101="已复盘",AD101="是",ISNUMBER(Y101),AE101&lt;&gt;""),"可汇总","观察中/未完成结算核对"))))))))</f>
        <v/>
      </c>
      <c r="AG101" s="9">
        <f>IF(C101="","",IF(OR(H101="",I101=""),"待补充",IF(COUNTIFS($C$2:$C$301,C101,$H$2:$H$301,H101,$I$2:$I$301,I101)&lt;&gt;COUNTIF($C$2:$C$301,C101),"请统一日期/负责人",IF(COUNTIF($C$2:C101,C101)=1,1,0))))</f>
        <v/>
      </c>
    </row>
    <row r="102" spans="25:33" ht="34" customHeight="1">
      <c r="Y102" s="10">
        <f>IF(A102="","",IF(COUNT(P102,R102:S102,U102:X102)&lt;7,"待补充",IF(MIN(P102,R102:S102,U102:X102)&lt;0,"检查输入",ROUND(P102-SUM(R102:S102)-SUM(U102:X102),4))))</f>
        <v/>
      </c>
      <c r="AF102" s="9">
        <f>IF(A102="","",IF(COUNTIF($A$2:$A$301,A102)&gt;1,"归因记录ID重复",IF(OR(B102="",C102="",D102="",H102="",COUNT(E102:G102)&lt;3,I102="",Z102=""),"待补归因/证据/日期",IF(F102&lt;E102,"窗口起止错误",IF(COUNTIF('达人线索与合作'!$B$2:$B$301,B102)&lt;&gt;1,"合作ID未唯一匹配",IF(COUNTIFS($B$2:$B$301,B102,$C$2:$C$301,C102,$D$2:$D$301,D102,$E$2:$E$301,E102,$F$2:$F$301,F102)&gt;1,"窗口重复：应更新原行",IF(AND(AD102="是",COUNTIFS($B$2:$B$301,B102,$C$2:$C$301,C102,$D$2:$D$301,D102,$AD$2:$AD$301,"是")&gt;1),"重复汇总：同视频SKU仅选一行",IF(AND(AC102="已复盘",AD102="是",ISNUMBER(Y102),AE102&lt;&gt;""),"可汇总","观察中/未完成结算核对"))))))))</f>
        <v/>
      </c>
      <c r="AG102" s="9">
        <f>IF(C102="","",IF(OR(H102="",I102=""),"待补充",IF(COUNTIFS($C$2:$C$301,C102,$H$2:$H$301,H102,$I$2:$I$301,I102)&lt;&gt;COUNTIF($C$2:$C$301,C102),"请统一日期/负责人",IF(COUNTIF($C$2:C102,C102)=1,1,0))))</f>
        <v/>
      </c>
    </row>
    <row r="103" spans="25:33" ht="34" customHeight="1">
      <c r="Y103" s="10">
        <f>IF(A103="","",IF(COUNT(P103,R103:S103,U103:X103)&lt;7,"待补充",IF(MIN(P103,R103:S103,U103:X103)&lt;0,"检查输入",ROUND(P103-SUM(R103:S103)-SUM(U103:X103),4))))</f>
        <v/>
      </c>
      <c r="AF103" s="9">
        <f>IF(A103="","",IF(COUNTIF($A$2:$A$301,A103)&gt;1,"归因记录ID重复",IF(OR(B103="",C103="",D103="",H103="",COUNT(E103:G103)&lt;3,I103="",Z103=""),"待补归因/证据/日期",IF(F103&lt;E103,"窗口起止错误",IF(COUNTIF('达人线索与合作'!$B$2:$B$301,B103)&lt;&gt;1,"合作ID未唯一匹配",IF(COUNTIFS($B$2:$B$301,B103,$C$2:$C$301,C103,$D$2:$D$301,D103,$E$2:$E$301,E103,$F$2:$F$301,F103)&gt;1,"窗口重复：应更新原行",IF(AND(AD103="是",COUNTIFS($B$2:$B$301,B103,$C$2:$C$301,C103,$D$2:$D$301,D103,$AD$2:$AD$301,"是")&gt;1),"重复汇总：同视频SKU仅选一行",IF(AND(AC103="已复盘",AD103="是",ISNUMBER(Y103),AE103&lt;&gt;""),"可汇总","观察中/未完成结算核对"))))))))</f>
        <v/>
      </c>
      <c r="AG103" s="9">
        <f>IF(C103="","",IF(OR(H103="",I103=""),"待补充",IF(COUNTIFS($C$2:$C$301,C103,$H$2:$H$301,H103,$I$2:$I$301,I103)&lt;&gt;COUNTIF($C$2:$C$301,C103),"请统一日期/负责人",IF(COUNTIF($C$2:C103,C103)=1,1,0))))</f>
        <v/>
      </c>
    </row>
    <row r="104" spans="25:33" ht="34" customHeight="1">
      <c r="Y104" s="10">
        <f>IF(A104="","",IF(COUNT(P104,R104:S104,U104:X104)&lt;7,"待补充",IF(MIN(P104,R104:S104,U104:X104)&lt;0,"检查输入",ROUND(P104-SUM(R104:S104)-SUM(U104:X104),4))))</f>
        <v/>
      </c>
      <c r="AF104" s="9">
        <f>IF(A104="","",IF(COUNTIF($A$2:$A$301,A104)&gt;1,"归因记录ID重复",IF(OR(B104="",C104="",D104="",H104="",COUNT(E104:G104)&lt;3,I104="",Z104=""),"待补归因/证据/日期",IF(F104&lt;E104,"窗口起止错误",IF(COUNTIF('达人线索与合作'!$B$2:$B$301,B104)&lt;&gt;1,"合作ID未唯一匹配",IF(COUNTIFS($B$2:$B$301,B104,$C$2:$C$301,C104,$D$2:$D$301,D104,$E$2:$E$301,E104,$F$2:$F$301,F104)&gt;1,"窗口重复：应更新原行",IF(AND(AD104="是",COUNTIFS($B$2:$B$301,B104,$C$2:$C$301,C104,$D$2:$D$301,D104,$AD$2:$AD$301,"是")&gt;1),"重复汇总：同视频SKU仅选一行",IF(AND(AC104="已复盘",AD104="是",ISNUMBER(Y104),AE104&lt;&gt;""),"可汇总","观察中/未完成结算核对"))))))))</f>
        <v/>
      </c>
      <c r="AG104" s="9">
        <f>IF(C104="","",IF(OR(H104="",I104=""),"待补充",IF(COUNTIFS($C$2:$C$301,C104,$H$2:$H$301,H104,$I$2:$I$301,I104)&lt;&gt;COUNTIF($C$2:$C$301,C104),"请统一日期/负责人",IF(COUNTIF($C$2:C104,C104)=1,1,0))))</f>
        <v/>
      </c>
    </row>
    <row r="105" spans="25:33" ht="34" customHeight="1">
      <c r="Y105" s="10">
        <f>IF(A105="","",IF(COUNT(P105,R105:S105,U105:X105)&lt;7,"待补充",IF(MIN(P105,R105:S105,U105:X105)&lt;0,"检查输入",ROUND(P105-SUM(R105:S105)-SUM(U105:X105),4))))</f>
        <v/>
      </c>
      <c r="AF105" s="9">
        <f>IF(A105="","",IF(COUNTIF($A$2:$A$301,A105)&gt;1,"归因记录ID重复",IF(OR(B105="",C105="",D105="",H105="",COUNT(E105:G105)&lt;3,I105="",Z105=""),"待补归因/证据/日期",IF(F105&lt;E105,"窗口起止错误",IF(COUNTIF('达人线索与合作'!$B$2:$B$301,B105)&lt;&gt;1,"合作ID未唯一匹配",IF(COUNTIFS($B$2:$B$301,B105,$C$2:$C$301,C105,$D$2:$D$301,D105,$E$2:$E$301,E105,$F$2:$F$301,F105)&gt;1,"窗口重复：应更新原行",IF(AND(AD105="是",COUNTIFS($B$2:$B$301,B105,$C$2:$C$301,C105,$D$2:$D$301,D105,$AD$2:$AD$301,"是")&gt;1),"重复汇总：同视频SKU仅选一行",IF(AND(AC105="已复盘",AD105="是",ISNUMBER(Y105),AE105&lt;&gt;""),"可汇总","观察中/未完成结算核对"))))))))</f>
        <v/>
      </c>
      <c r="AG105" s="9">
        <f>IF(C105="","",IF(OR(H105="",I105=""),"待补充",IF(COUNTIFS($C$2:$C$301,C105,$H$2:$H$301,H105,$I$2:$I$301,I105)&lt;&gt;COUNTIF($C$2:$C$301,C105),"请统一日期/负责人",IF(COUNTIF($C$2:C105,C105)=1,1,0))))</f>
        <v/>
      </c>
    </row>
    <row r="106" spans="25:33" ht="34" customHeight="1">
      <c r="Y106" s="10">
        <f>IF(A106="","",IF(COUNT(P106,R106:S106,U106:X106)&lt;7,"待补充",IF(MIN(P106,R106:S106,U106:X106)&lt;0,"检查输入",ROUND(P106-SUM(R106:S106)-SUM(U106:X106),4))))</f>
        <v/>
      </c>
      <c r="AF106" s="9">
        <f>IF(A106="","",IF(COUNTIF($A$2:$A$301,A106)&gt;1,"归因记录ID重复",IF(OR(B106="",C106="",D106="",H106="",COUNT(E106:G106)&lt;3,I106="",Z106=""),"待补归因/证据/日期",IF(F106&lt;E106,"窗口起止错误",IF(COUNTIF('达人线索与合作'!$B$2:$B$301,B106)&lt;&gt;1,"合作ID未唯一匹配",IF(COUNTIFS($B$2:$B$301,B106,$C$2:$C$301,C106,$D$2:$D$301,D106,$E$2:$E$301,E106,$F$2:$F$301,F106)&gt;1,"窗口重复：应更新原行",IF(AND(AD106="是",COUNTIFS($B$2:$B$301,B106,$C$2:$C$301,C106,$D$2:$D$301,D106,$AD$2:$AD$301,"是")&gt;1),"重复汇总：同视频SKU仅选一行",IF(AND(AC106="已复盘",AD106="是",ISNUMBER(Y106),AE106&lt;&gt;""),"可汇总","观察中/未完成结算核对"))))))))</f>
        <v/>
      </c>
      <c r="AG106" s="9">
        <f>IF(C106="","",IF(OR(H106="",I106=""),"待补充",IF(COUNTIFS($C$2:$C$301,C106,$H$2:$H$301,H106,$I$2:$I$301,I106)&lt;&gt;COUNTIF($C$2:$C$301,C106),"请统一日期/负责人",IF(COUNTIF($C$2:C106,C106)=1,1,0))))</f>
        <v/>
      </c>
    </row>
    <row r="107" spans="25:33" ht="34" customHeight="1">
      <c r="Y107" s="10">
        <f>IF(A107="","",IF(COUNT(P107,R107:S107,U107:X107)&lt;7,"待补充",IF(MIN(P107,R107:S107,U107:X107)&lt;0,"检查输入",ROUND(P107-SUM(R107:S107)-SUM(U107:X107),4))))</f>
        <v/>
      </c>
      <c r="AF107" s="9">
        <f>IF(A107="","",IF(COUNTIF($A$2:$A$301,A107)&gt;1,"归因记录ID重复",IF(OR(B107="",C107="",D107="",H107="",COUNT(E107:G107)&lt;3,I107="",Z107=""),"待补归因/证据/日期",IF(F107&lt;E107,"窗口起止错误",IF(COUNTIF('达人线索与合作'!$B$2:$B$301,B107)&lt;&gt;1,"合作ID未唯一匹配",IF(COUNTIFS($B$2:$B$301,B107,$C$2:$C$301,C107,$D$2:$D$301,D107,$E$2:$E$301,E107,$F$2:$F$301,F107)&gt;1,"窗口重复：应更新原行",IF(AND(AD107="是",COUNTIFS($B$2:$B$301,B107,$C$2:$C$301,C107,$D$2:$D$301,D107,$AD$2:$AD$301,"是")&gt;1),"重复汇总：同视频SKU仅选一行",IF(AND(AC107="已复盘",AD107="是",ISNUMBER(Y107),AE107&lt;&gt;""),"可汇总","观察中/未完成结算核对"))))))))</f>
        <v/>
      </c>
      <c r="AG107" s="9">
        <f>IF(C107="","",IF(OR(H107="",I107=""),"待补充",IF(COUNTIFS($C$2:$C$301,C107,$H$2:$H$301,H107,$I$2:$I$301,I107)&lt;&gt;COUNTIF($C$2:$C$301,C107),"请统一日期/负责人",IF(COUNTIF($C$2:C107,C107)=1,1,0))))</f>
        <v/>
      </c>
    </row>
    <row r="108" spans="25:33" ht="34" customHeight="1">
      <c r="Y108" s="10">
        <f>IF(A108="","",IF(COUNT(P108,R108:S108,U108:X108)&lt;7,"待补充",IF(MIN(P108,R108:S108,U108:X108)&lt;0,"检查输入",ROUND(P108-SUM(R108:S108)-SUM(U108:X108),4))))</f>
        <v/>
      </c>
      <c r="AF108" s="9">
        <f>IF(A108="","",IF(COUNTIF($A$2:$A$301,A108)&gt;1,"归因记录ID重复",IF(OR(B108="",C108="",D108="",H108="",COUNT(E108:G108)&lt;3,I108="",Z108=""),"待补归因/证据/日期",IF(F108&lt;E108,"窗口起止错误",IF(COUNTIF('达人线索与合作'!$B$2:$B$301,B108)&lt;&gt;1,"合作ID未唯一匹配",IF(COUNTIFS($B$2:$B$301,B108,$C$2:$C$301,C108,$D$2:$D$301,D108,$E$2:$E$301,E108,$F$2:$F$301,F108)&gt;1,"窗口重复：应更新原行",IF(AND(AD108="是",COUNTIFS($B$2:$B$301,B108,$C$2:$C$301,C108,$D$2:$D$301,D108,$AD$2:$AD$301,"是")&gt;1),"重复汇总：同视频SKU仅选一行",IF(AND(AC108="已复盘",AD108="是",ISNUMBER(Y108),AE108&lt;&gt;""),"可汇总","观察中/未完成结算核对"))))))))</f>
        <v/>
      </c>
      <c r="AG108" s="9">
        <f>IF(C108="","",IF(OR(H108="",I108=""),"待补充",IF(COUNTIFS($C$2:$C$301,C108,$H$2:$H$301,H108,$I$2:$I$301,I108)&lt;&gt;COUNTIF($C$2:$C$301,C108),"请统一日期/负责人",IF(COUNTIF($C$2:C108,C108)=1,1,0))))</f>
        <v/>
      </c>
    </row>
    <row r="109" spans="25:33" ht="34" customHeight="1">
      <c r="Y109" s="10">
        <f>IF(A109="","",IF(COUNT(P109,R109:S109,U109:X109)&lt;7,"待补充",IF(MIN(P109,R109:S109,U109:X109)&lt;0,"检查输入",ROUND(P109-SUM(R109:S109)-SUM(U109:X109),4))))</f>
        <v/>
      </c>
      <c r="AF109" s="9">
        <f>IF(A109="","",IF(COUNTIF($A$2:$A$301,A109)&gt;1,"归因记录ID重复",IF(OR(B109="",C109="",D109="",H109="",COUNT(E109:G109)&lt;3,I109="",Z109=""),"待补归因/证据/日期",IF(F109&lt;E109,"窗口起止错误",IF(COUNTIF('达人线索与合作'!$B$2:$B$301,B109)&lt;&gt;1,"合作ID未唯一匹配",IF(COUNTIFS($B$2:$B$301,B109,$C$2:$C$301,C109,$D$2:$D$301,D109,$E$2:$E$301,E109,$F$2:$F$301,F109)&gt;1,"窗口重复：应更新原行",IF(AND(AD109="是",COUNTIFS($B$2:$B$301,B109,$C$2:$C$301,C109,$D$2:$D$301,D109,$AD$2:$AD$301,"是")&gt;1),"重复汇总：同视频SKU仅选一行",IF(AND(AC109="已复盘",AD109="是",ISNUMBER(Y109),AE109&lt;&gt;""),"可汇总","观察中/未完成结算核对"))))))))</f>
        <v/>
      </c>
      <c r="AG109" s="9">
        <f>IF(C109="","",IF(OR(H109="",I109=""),"待补充",IF(COUNTIFS($C$2:$C$301,C109,$H$2:$H$301,H109,$I$2:$I$301,I109)&lt;&gt;COUNTIF($C$2:$C$301,C109),"请统一日期/负责人",IF(COUNTIF($C$2:C109,C109)=1,1,0))))</f>
        <v/>
      </c>
    </row>
    <row r="110" spans="25:33" ht="34" customHeight="1">
      <c r="Y110" s="10">
        <f>IF(A110="","",IF(COUNT(P110,R110:S110,U110:X110)&lt;7,"待补充",IF(MIN(P110,R110:S110,U110:X110)&lt;0,"检查输入",ROUND(P110-SUM(R110:S110)-SUM(U110:X110),4))))</f>
        <v/>
      </c>
      <c r="AF110" s="9">
        <f>IF(A110="","",IF(COUNTIF($A$2:$A$301,A110)&gt;1,"归因记录ID重复",IF(OR(B110="",C110="",D110="",H110="",COUNT(E110:G110)&lt;3,I110="",Z110=""),"待补归因/证据/日期",IF(F110&lt;E110,"窗口起止错误",IF(COUNTIF('达人线索与合作'!$B$2:$B$301,B110)&lt;&gt;1,"合作ID未唯一匹配",IF(COUNTIFS($B$2:$B$301,B110,$C$2:$C$301,C110,$D$2:$D$301,D110,$E$2:$E$301,E110,$F$2:$F$301,F110)&gt;1,"窗口重复：应更新原行",IF(AND(AD110="是",COUNTIFS($B$2:$B$301,B110,$C$2:$C$301,C110,$D$2:$D$301,D110,$AD$2:$AD$301,"是")&gt;1),"重复汇总：同视频SKU仅选一行",IF(AND(AC110="已复盘",AD110="是",ISNUMBER(Y110),AE110&lt;&gt;""),"可汇总","观察中/未完成结算核对"))))))))</f>
        <v/>
      </c>
      <c r="AG110" s="9">
        <f>IF(C110="","",IF(OR(H110="",I110=""),"待补充",IF(COUNTIFS($C$2:$C$301,C110,$H$2:$H$301,H110,$I$2:$I$301,I110)&lt;&gt;COUNTIF($C$2:$C$301,C110),"请统一日期/负责人",IF(COUNTIF($C$2:C110,C110)=1,1,0))))</f>
        <v/>
      </c>
    </row>
    <row r="111" spans="25:33" ht="34" customHeight="1">
      <c r="Y111" s="10">
        <f>IF(A111="","",IF(COUNT(P111,R111:S111,U111:X111)&lt;7,"待补充",IF(MIN(P111,R111:S111,U111:X111)&lt;0,"检查输入",ROUND(P111-SUM(R111:S111)-SUM(U111:X111),4))))</f>
        <v/>
      </c>
      <c r="AF111" s="9">
        <f>IF(A111="","",IF(COUNTIF($A$2:$A$301,A111)&gt;1,"归因记录ID重复",IF(OR(B111="",C111="",D111="",H111="",COUNT(E111:G111)&lt;3,I111="",Z111=""),"待补归因/证据/日期",IF(F111&lt;E111,"窗口起止错误",IF(COUNTIF('达人线索与合作'!$B$2:$B$301,B111)&lt;&gt;1,"合作ID未唯一匹配",IF(COUNTIFS($B$2:$B$301,B111,$C$2:$C$301,C111,$D$2:$D$301,D111,$E$2:$E$301,E111,$F$2:$F$301,F111)&gt;1,"窗口重复：应更新原行",IF(AND(AD111="是",COUNTIFS($B$2:$B$301,B111,$C$2:$C$301,C111,$D$2:$D$301,D111,$AD$2:$AD$301,"是")&gt;1),"重复汇总：同视频SKU仅选一行",IF(AND(AC111="已复盘",AD111="是",ISNUMBER(Y111),AE111&lt;&gt;""),"可汇总","观察中/未完成结算核对"))))))))</f>
        <v/>
      </c>
      <c r="AG111" s="9">
        <f>IF(C111="","",IF(OR(H111="",I111=""),"待补充",IF(COUNTIFS($C$2:$C$301,C111,$H$2:$H$301,H111,$I$2:$I$301,I111)&lt;&gt;COUNTIF($C$2:$C$301,C111),"请统一日期/负责人",IF(COUNTIF($C$2:C111,C111)=1,1,0))))</f>
        <v/>
      </c>
    </row>
    <row r="112" spans="25:33" ht="34" customHeight="1">
      <c r="Y112" s="10">
        <f>IF(A112="","",IF(COUNT(P112,R112:S112,U112:X112)&lt;7,"待补充",IF(MIN(P112,R112:S112,U112:X112)&lt;0,"检查输入",ROUND(P112-SUM(R112:S112)-SUM(U112:X112),4))))</f>
        <v/>
      </c>
      <c r="AF112" s="9">
        <f>IF(A112="","",IF(COUNTIF($A$2:$A$301,A112)&gt;1,"归因记录ID重复",IF(OR(B112="",C112="",D112="",H112="",COUNT(E112:G112)&lt;3,I112="",Z112=""),"待补归因/证据/日期",IF(F112&lt;E112,"窗口起止错误",IF(COUNTIF('达人线索与合作'!$B$2:$B$301,B112)&lt;&gt;1,"合作ID未唯一匹配",IF(COUNTIFS($B$2:$B$301,B112,$C$2:$C$301,C112,$D$2:$D$301,D112,$E$2:$E$301,E112,$F$2:$F$301,F112)&gt;1,"窗口重复：应更新原行",IF(AND(AD112="是",COUNTIFS($B$2:$B$301,B112,$C$2:$C$301,C112,$D$2:$D$301,D112,$AD$2:$AD$301,"是")&gt;1),"重复汇总：同视频SKU仅选一行",IF(AND(AC112="已复盘",AD112="是",ISNUMBER(Y112),AE112&lt;&gt;""),"可汇总","观察中/未完成结算核对"))))))))</f>
        <v/>
      </c>
      <c r="AG112" s="9">
        <f>IF(C112="","",IF(OR(H112="",I112=""),"待补充",IF(COUNTIFS($C$2:$C$301,C112,$H$2:$H$301,H112,$I$2:$I$301,I112)&lt;&gt;COUNTIF($C$2:$C$301,C112),"请统一日期/负责人",IF(COUNTIF($C$2:C112,C112)=1,1,0))))</f>
        <v/>
      </c>
    </row>
    <row r="113" spans="25:33" ht="34" customHeight="1">
      <c r="Y113" s="10">
        <f>IF(A113="","",IF(COUNT(P113,R113:S113,U113:X113)&lt;7,"待补充",IF(MIN(P113,R113:S113,U113:X113)&lt;0,"检查输入",ROUND(P113-SUM(R113:S113)-SUM(U113:X113),4))))</f>
        <v/>
      </c>
      <c r="AF113" s="9">
        <f>IF(A113="","",IF(COUNTIF($A$2:$A$301,A113)&gt;1,"归因记录ID重复",IF(OR(B113="",C113="",D113="",H113="",COUNT(E113:G113)&lt;3,I113="",Z113=""),"待补归因/证据/日期",IF(F113&lt;E113,"窗口起止错误",IF(COUNTIF('达人线索与合作'!$B$2:$B$301,B113)&lt;&gt;1,"合作ID未唯一匹配",IF(COUNTIFS($B$2:$B$301,B113,$C$2:$C$301,C113,$D$2:$D$301,D113,$E$2:$E$301,E113,$F$2:$F$301,F113)&gt;1,"窗口重复：应更新原行",IF(AND(AD113="是",COUNTIFS($B$2:$B$301,B113,$C$2:$C$301,C113,$D$2:$D$301,D113,$AD$2:$AD$301,"是")&gt;1),"重复汇总：同视频SKU仅选一行",IF(AND(AC113="已复盘",AD113="是",ISNUMBER(Y113),AE113&lt;&gt;""),"可汇总","观察中/未完成结算核对"))))))))</f>
        <v/>
      </c>
      <c r="AG113" s="9">
        <f>IF(C113="","",IF(OR(H113="",I113=""),"待补充",IF(COUNTIFS($C$2:$C$301,C113,$H$2:$H$301,H113,$I$2:$I$301,I113)&lt;&gt;COUNTIF($C$2:$C$301,C113),"请统一日期/负责人",IF(COUNTIF($C$2:C113,C113)=1,1,0))))</f>
        <v/>
      </c>
    </row>
    <row r="114" spans="25:33" ht="34" customHeight="1">
      <c r="Y114" s="10">
        <f>IF(A114="","",IF(COUNT(P114,R114:S114,U114:X114)&lt;7,"待补充",IF(MIN(P114,R114:S114,U114:X114)&lt;0,"检查输入",ROUND(P114-SUM(R114:S114)-SUM(U114:X114),4))))</f>
        <v/>
      </c>
      <c r="AF114" s="9">
        <f>IF(A114="","",IF(COUNTIF($A$2:$A$301,A114)&gt;1,"归因记录ID重复",IF(OR(B114="",C114="",D114="",H114="",COUNT(E114:G114)&lt;3,I114="",Z114=""),"待补归因/证据/日期",IF(F114&lt;E114,"窗口起止错误",IF(COUNTIF('达人线索与合作'!$B$2:$B$301,B114)&lt;&gt;1,"合作ID未唯一匹配",IF(COUNTIFS($B$2:$B$301,B114,$C$2:$C$301,C114,$D$2:$D$301,D114,$E$2:$E$301,E114,$F$2:$F$301,F114)&gt;1,"窗口重复：应更新原行",IF(AND(AD114="是",COUNTIFS($B$2:$B$301,B114,$C$2:$C$301,C114,$D$2:$D$301,D114,$AD$2:$AD$301,"是")&gt;1),"重复汇总：同视频SKU仅选一行",IF(AND(AC114="已复盘",AD114="是",ISNUMBER(Y114),AE114&lt;&gt;""),"可汇总","观察中/未完成结算核对"))))))))</f>
        <v/>
      </c>
      <c r="AG114" s="9">
        <f>IF(C114="","",IF(OR(H114="",I114=""),"待补充",IF(COUNTIFS($C$2:$C$301,C114,$H$2:$H$301,H114,$I$2:$I$301,I114)&lt;&gt;COUNTIF($C$2:$C$301,C114),"请统一日期/负责人",IF(COUNTIF($C$2:C114,C114)=1,1,0))))</f>
        <v/>
      </c>
    </row>
    <row r="115" spans="25:33" ht="34" customHeight="1">
      <c r="Y115" s="10">
        <f>IF(A115="","",IF(COUNT(P115,R115:S115,U115:X115)&lt;7,"待补充",IF(MIN(P115,R115:S115,U115:X115)&lt;0,"检查输入",ROUND(P115-SUM(R115:S115)-SUM(U115:X115),4))))</f>
        <v/>
      </c>
      <c r="AF115" s="9">
        <f>IF(A115="","",IF(COUNTIF($A$2:$A$301,A115)&gt;1,"归因记录ID重复",IF(OR(B115="",C115="",D115="",H115="",COUNT(E115:G115)&lt;3,I115="",Z115=""),"待补归因/证据/日期",IF(F115&lt;E115,"窗口起止错误",IF(COUNTIF('达人线索与合作'!$B$2:$B$301,B115)&lt;&gt;1,"合作ID未唯一匹配",IF(COUNTIFS($B$2:$B$301,B115,$C$2:$C$301,C115,$D$2:$D$301,D115,$E$2:$E$301,E115,$F$2:$F$301,F115)&gt;1,"窗口重复：应更新原行",IF(AND(AD115="是",COUNTIFS($B$2:$B$301,B115,$C$2:$C$301,C115,$D$2:$D$301,D115,$AD$2:$AD$301,"是")&gt;1),"重复汇总：同视频SKU仅选一行",IF(AND(AC115="已复盘",AD115="是",ISNUMBER(Y115),AE115&lt;&gt;""),"可汇总","观察中/未完成结算核对"))))))))</f>
        <v/>
      </c>
      <c r="AG115" s="9">
        <f>IF(C115="","",IF(OR(H115="",I115=""),"待补充",IF(COUNTIFS($C$2:$C$301,C115,$H$2:$H$301,H115,$I$2:$I$301,I115)&lt;&gt;COUNTIF($C$2:$C$301,C115),"请统一日期/负责人",IF(COUNTIF($C$2:C115,C115)=1,1,0))))</f>
        <v/>
      </c>
    </row>
    <row r="116" spans="25:33" ht="34" customHeight="1">
      <c r="Y116" s="10">
        <f>IF(A116="","",IF(COUNT(P116,R116:S116,U116:X116)&lt;7,"待补充",IF(MIN(P116,R116:S116,U116:X116)&lt;0,"检查输入",ROUND(P116-SUM(R116:S116)-SUM(U116:X116),4))))</f>
        <v/>
      </c>
      <c r="AF116" s="9">
        <f>IF(A116="","",IF(COUNTIF($A$2:$A$301,A116)&gt;1,"归因记录ID重复",IF(OR(B116="",C116="",D116="",H116="",COUNT(E116:G116)&lt;3,I116="",Z116=""),"待补归因/证据/日期",IF(F116&lt;E116,"窗口起止错误",IF(COUNTIF('达人线索与合作'!$B$2:$B$301,B116)&lt;&gt;1,"合作ID未唯一匹配",IF(COUNTIFS($B$2:$B$301,B116,$C$2:$C$301,C116,$D$2:$D$301,D116,$E$2:$E$301,E116,$F$2:$F$301,F116)&gt;1,"窗口重复：应更新原行",IF(AND(AD116="是",COUNTIFS($B$2:$B$301,B116,$C$2:$C$301,C116,$D$2:$D$301,D116,$AD$2:$AD$301,"是")&gt;1),"重复汇总：同视频SKU仅选一行",IF(AND(AC116="已复盘",AD116="是",ISNUMBER(Y116),AE116&lt;&gt;""),"可汇总","观察中/未完成结算核对"))))))))</f>
        <v/>
      </c>
      <c r="AG116" s="9">
        <f>IF(C116="","",IF(OR(H116="",I116=""),"待补充",IF(COUNTIFS($C$2:$C$301,C116,$H$2:$H$301,H116,$I$2:$I$301,I116)&lt;&gt;COUNTIF($C$2:$C$301,C116),"请统一日期/负责人",IF(COUNTIF($C$2:C116,C116)=1,1,0))))</f>
        <v/>
      </c>
    </row>
    <row r="117" spans="25:33" ht="34" customHeight="1">
      <c r="Y117" s="10">
        <f>IF(A117="","",IF(COUNT(P117,R117:S117,U117:X117)&lt;7,"待补充",IF(MIN(P117,R117:S117,U117:X117)&lt;0,"检查输入",ROUND(P117-SUM(R117:S117)-SUM(U117:X117),4))))</f>
        <v/>
      </c>
      <c r="AF117" s="9">
        <f>IF(A117="","",IF(COUNTIF($A$2:$A$301,A117)&gt;1,"归因记录ID重复",IF(OR(B117="",C117="",D117="",H117="",COUNT(E117:G117)&lt;3,I117="",Z117=""),"待补归因/证据/日期",IF(F117&lt;E117,"窗口起止错误",IF(COUNTIF('达人线索与合作'!$B$2:$B$301,B117)&lt;&gt;1,"合作ID未唯一匹配",IF(COUNTIFS($B$2:$B$301,B117,$C$2:$C$301,C117,$D$2:$D$301,D117,$E$2:$E$301,E117,$F$2:$F$301,F117)&gt;1,"窗口重复：应更新原行",IF(AND(AD117="是",COUNTIFS($B$2:$B$301,B117,$C$2:$C$301,C117,$D$2:$D$301,D117,$AD$2:$AD$301,"是")&gt;1),"重复汇总：同视频SKU仅选一行",IF(AND(AC117="已复盘",AD117="是",ISNUMBER(Y117),AE117&lt;&gt;""),"可汇总","观察中/未完成结算核对"))))))))</f>
        <v/>
      </c>
      <c r="AG117" s="9">
        <f>IF(C117="","",IF(OR(H117="",I117=""),"待补充",IF(COUNTIFS($C$2:$C$301,C117,$H$2:$H$301,H117,$I$2:$I$301,I117)&lt;&gt;COUNTIF($C$2:$C$301,C117),"请统一日期/负责人",IF(COUNTIF($C$2:C117,C117)=1,1,0))))</f>
        <v/>
      </c>
    </row>
    <row r="118" spans="25:33" ht="34" customHeight="1">
      <c r="Y118" s="10">
        <f>IF(A118="","",IF(COUNT(P118,R118:S118,U118:X118)&lt;7,"待补充",IF(MIN(P118,R118:S118,U118:X118)&lt;0,"检查输入",ROUND(P118-SUM(R118:S118)-SUM(U118:X118),4))))</f>
        <v/>
      </c>
      <c r="AF118" s="9">
        <f>IF(A118="","",IF(COUNTIF($A$2:$A$301,A118)&gt;1,"归因记录ID重复",IF(OR(B118="",C118="",D118="",H118="",COUNT(E118:G118)&lt;3,I118="",Z118=""),"待补归因/证据/日期",IF(F118&lt;E118,"窗口起止错误",IF(COUNTIF('达人线索与合作'!$B$2:$B$301,B118)&lt;&gt;1,"合作ID未唯一匹配",IF(COUNTIFS($B$2:$B$301,B118,$C$2:$C$301,C118,$D$2:$D$301,D118,$E$2:$E$301,E118,$F$2:$F$301,F118)&gt;1,"窗口重复：应更新原行",IF(AND(AD118="是",COUNTIFS($B$2:$B$301,B118,$C$2:$C$301,C118,$D$2:$D$301,D118,$AD$2:$AD$301,"是")&gt;1),"重复汇总：同视频SKU仅选一行",IF(AND(AC118="已复盘",AD118="是",ISNUMBER(Y118),AE118&lt;&gt;""),"可汇总","观察中/未完成结算核对"))))))))</f>
        <v/>
      </c>
      <c r="AG118" s="9">
        <f>IF(C118="","",IF(OR(H118="",I118=""),"待补充",IF(COUNTIFS($C$2:$C$301,C118,$H$2:$H$301,H118,$I$2:$I$301,I118)&lt;&gt;COUNTIF($C$2:$C$301,C118),"请统一日期/负责人",IF(COUNTIF($C$2:C118,C118)=1,1,0))))</f>
        <v/>
      </c>
    </row>
    <row r="119" spans="25:33" ht="34" customHeight="1">
      <c r="Y119" s="10">
        <f>IF(A119="","",IF(COUNT(P119,R119:S119,U119:X119)&lt;7,"待补充",IF(MIN(P119,R119:S119,U119:X119)&lt;0,"检查输入",ROUND(P119-SUM(R119:S119)-SUM(U119:X119),4))))</f>
        <v/>
      </c>
      <c r="AF119" s="9">
        <f>IF(A119="","",IF(COUNTIF($A$2:$A$301,A119)&gt;1,"归因记录ID重复",IF(OR(B119="",C119="",D119="",H119="",COUNT(E119:G119)&lt;3,I119="",Z119=""),"待补归因/证据/日期",IF(F119&lt;E119,"窗口起止错误",IF(COUNTIF('达人线索与合作'!$B$2:$B$301,B119)&lt;&gt;1,"合作ID未唯一匹配",IF(COUNTIFS($B$2:$B$301,B119,$C$2:$C$301,C119,$D$2:$D$301,D119,$E$2:$E$301,E119,$F$2:$F$301,F119)&gt;1,"窗口重复：应更新原行",IF(AND(AD119="是",COUNTIFS($B$2:$B$301,B119,$C$2:$C$301,C119,$D$2:$D$301,D119,$AD$2:$AD$301,"是")&gt;1),"重复汇总：同视频SKU仅选一行",IF(AND(AC119="已复盘",AD119="是",ISNUMBER(Y119),AE119&lt;&gt;""),"可汇总","观察中/未完成结算核对"))))))))</f>
        <v/>
      </c>
      <c r="AG119" s="9">
        <f>IF(C119="","",IF(OR(H119="",I119=""),"待补充",IF(COUNTIFS($C$2:$C$301,C119,$H$2:$H$301,H119,$I$2:$I$301,I119)&lt;&gt;COUNTIF($C$2:$C$301,C119),"请统一日期/负责人",IF(COUNTIF($C$2:C119,C119)=1,1,0))))</f>
        <v/>
      </c>
    </row>
    <row r="120" spans="25:33" ht="34" customHeight="1">
      <c r="Y120" s="10">
        <f>IF(A120="","",IF(COUNT(P120,R120:S120,U120:X120)&lt;7,"待补充",IF(MIN(P120,R120:S120,U120:X120)&lt;0,"检查输入",ROUND(P120-SUM(R120:S120)-SUM(U120:X120),4))))</f>
        <v/>
      </c>
      <c r="AF120" s="9">
        <f>IF(A120="","",IF(COUNTIF($A$2:$A$301,A120)&gt;1,"归因记录ID重复",IF(OR(B120="",C120="",D120="",H120="",COUNT(E120:G120)&lt;3,I120="",Z120=""),"待补归因/证据/日期",IF(F120&lt;E120,"窗口起止错误",IF(COUNTIF('达人线索与合作'!$B$2:$B$301,B120)&lt;&gt;1,"合作ID未唯一匹配",IF(COUNTIFS($B$2:$B$301,B120,$C$2:$C$301,C120,$D$2:$D$301,D120,$E$2:$E$301,E120,$F$2:$F$301,F120)&gt;1,"窗口重复：应更新原行",IF(AND(AD120="是",COUNTIFS($B$2:$B$301,B120,$C$2:$C$301,C120,$D$2:$D$301,D120,$AD$2:$AD$301,"是")&gt;1),"重复汇总：同视频SKU仅选一行",IF(AND(AC120="已复盘",AD120="是",ISNUMBER(Y120),AE120&lt;&gt;""),"可汇总","观察中/未完成结算核对"))))))))</f>
        <v/>
      </c>
      <c r="AG120" s="9">
        <f>IF(C120="","",IF(OR(H120="",I120=""),"待补充",IF(COUNTIFS($C$2:$C$301,C120,$H$2:$H$301,H120,$I$2:$I$301,I120)&lt;&gt;COUNTIF($C$2:$C$301,C120),"请统一日期/负责人",IF(COUNTIF($C$2:C120,C120)=1,1,0))))</f>
        <v/>
      </c>
    </row>
    <row r="121" spans="25:33" ht="34" customHeight="1">
      <c r="Y121" s="10">
        <f>IF(A121="","",IF(COUNT(P121,R121:S121,U121:X121)&lt;7,"待补充",IF(MIN(P121,R121:S121,U121:X121)&lt;0,"检查输入",ROUND(P121-SUM(R121:S121)-SUM(U121:X121),4))))</f>
        <v/>
      </c>
      <c r="AF121" s="9">
        <f>IF(A121="","",IF(COUNTIF($A$2:$A$301,A121)&gt;1,"归因记录ID重复",IF(OR(B121="",C121="",D121="",H121="",COUNT(E121:G121)&lt;3,I121="",Z121=""),"待补归因/证据/日期",IF(F121&lt;E121,"窗口起止错误",IF(COUNTIF('达人线索与合作'!$B$2:$B$301,B121)&lt;&gt;1,"合作ID未唯一匹配",IF(COUNTIFS($B$2:$B$301,B121,$C$2:$C$301,C121,$D$2:$D$301,D121,$E$2:$E$301,E121,$F$2:$F$301,F121)&gt;1,"窗口重复：应更新原行",IF(AND(AD121="是",COUNTIFS($B$2:$B$301,B121,$C$2:$C$301,C121,$D$2:$D$301,D121,$AD$2:$AD$301,"是")&gt;1),"重复汇总：同视频SKU仅选一行",IF(AND(AC121="已复盘",AD121="是",ISNUMBER(Y121),AE121&lt;&gt;""),"可汇总","观察中/未完成结算核对"))))))))</f>
        <v/>
      </c>
      <c r="AG121" s="9">
        <f>IF(C121="","",IF(OR(H121="",I121=""),"待补充",IF(COUNTIFS($C$2:$C$301,C121,$H$2:$H$301,H121,$I$2:$I$301,I121)&lt;&gt;COUNTIF($C$2:$C$301,C121),"请统一日期/负责人",IF(COUNTIF($C$2:C121,C121)=1,1,0))))</f>
        <v/>
      </c>
    </row>
    <row r="122" spans="25:33" ht="34" customHeight="1">
      <c r="Y122" s="10">
        <f>IF(A122="","",IF(COUNT(P122,R122:S122,U122:X122)&lt;7,"待补充",IF(MIN(P122,R122:S122,U122:X122)&lt;0,"检查输入",ROUND(P122-SUM(R122:S122)-SUM(U122:X122),4))))</f>
        <v/>
      </c>
      <c r="AF122" s="9">
        <f>IF(A122="","",IF(COUNTIF($A$2:$A$301,A122)&gt;1,"归因记录ID重复",IF(OR(B122="",C122="",D122="",H122="",COUNT(E122:G122)&lt;3,I122="",Z122=""),"待补归因/证据/日期",IF(F122&lt;E122,"窗口起止错误",IF(COUNTIF('达人线索与合作'!$B$2:$B$301,B122)&lt;&gt;1,"合作ID未唯一匹配",IF(COUNTIFS($B$2:$B$301,B122,$C$2:$C$301,C122,$D$2:$D$301,D122,$E$2:$E$301,E122,$F$2:$F$301,F122)&gt;1,"窗口重复：应更新原行",IF(AND(AD122="是",COUNTIFS($B$2:$B$301,B122,$C$2:$C$301,C122,$D$2:$D$301,D122,$AD$2:$AD$301,"是")&gt;1),"重复汇总：同视频SKU仅选一行",IF(AND(AC122="已复盘",AD122="是",ISNUMBER(Y122),AE122&lt;&gt;""),"可汇总","观察中/未完成结算核对"))))))))</f>
        <v/>
      </c>
      <c r="AG122" s="9">
        <f>IF(C122="","",IF(OR(H122="",I122=""),"待补充",IF(COUNTIFS($C$2:$C$301,C122,$H$2:$H$301,H122,$I$2:$I$301,I122)&lt;&gt;COUNTIF($C$2:$C$301,C122),"请统一日期/负责人",IF(COUNTIF($C$2:C122,C122)=1,1,0))))</f>
        <v/>
      </c>
    </row>
    <row r="123" spans="25:33" ht="34" customHeight="1">
      <c r="Y123" s="10">
        <f>IF(A123="","",IF(COUNT(P123,R123:S123,U123:X123)&lt;7,"待补充",IF(MIN(P123,R123:S123,U123:X123)&lt;0,"检查输入",ROUND(P123-SUM(R123:S123)-SUM(U123:X123),4))))</f>
        <v/>
      </c>
      <c r="AF123" s="9">
        <f>IF(A123="","",IF(COUNTIF($A$2:$A$301,A123)&gt;1,"归因记录ID重复",IF(OR(B123="",C123="",D123="",H123="",COUNT(E123:G123)&lt;3,I123="",Z123=""),"待补归因/证据/日期",IF(F123&lt;E123,"窗口起止错误",IF(COUNTIF('达人线索与合作'!$B$2:$B$301,B123)&lt;&gt;1,"合作ID未唯一匹配",IF(COUNTIFS($B$2:$B$301,B123,$C$2:$C$301,C123,$D$2:$D$301,D123,$E$2:$E$301,E123,$F$2:$F$301,F123)&gt;1,"窗口重复：应更新原行",IF(AND(AD123="是",COUNTIFS($B$2:$B$301,B123,$C$2:$C$301,C123,$D$2:$D$301,D123,$AD$2:$AD$301,"是")&gt;1),"重复汇总：同视频SKU仅选一行",IF(AND(AC123="已复盘",AD123="是",ISNUMBER(Y123),AE123&lt;&gt;""),"可汇总","观察中/未完成结算核对"))))))))</f>
        <v/>
      </c>
      <c r="AG123" s="9">
        <f>IF(C123="","",IF(OR(H123="",I123=""),"待补充",IF(COUNTIFS($C$2:$C$301,C123,$H$2:$H$301,H123,$I$2:$I$301,I123)&lt;&gt;COUNTIF($C$2:$C$301,C123),"请统一日期/负责人",IF(COUNTIF($C$2:C123,C123)=1,1,0))))</f>
        <v/>
      </c>
    </row>
    <row r="124" spans="25:33" ht="34" customHeight="1">
      <c r="Y124" s="10">
        <f>IF(A124="","",IF(COUNT(P124,R124:S124,U124:X124)&lt;7,"待补充",IF(MIN(P124,R124:S124,U124:X124)&lt;0,"检查输入",ROUND(P124-SUM(R124:S124)-SUM(U124:X124),4))))</f>
        <v/>
      </c>
      <c r="AF124" s="9">
        <f>IF(A124="","",IF(COUNTIF($A$2:$A$301,A124)&gt;1,"归因记录ID重复",IF(OR(B124="",C124="",D124="",H124="",COUNT(E124:G124)&lt;3,I124="",Z124=""),"待补归因/证据/日期",IF(F124&lt;E124,"窗口起止错误",IF(COUNTIF('达人线索与合作'!$B$2:$B$301,B124)&lt;&gt;1,"合作ID未唯一匹配",IF(COUNTIFS($B$2:$B$301,B124,$C$2:$C$301,C124,$D$2:$D$301,D124,$E$2:$E$301,E124,$F$2:$F$301,F124)&gt;1,"窗口重复：应更新原行",IF(AND(AD124="是",COUNTIFS($B$2:$B$301,B124,$C$2:$C$301,C124,$D$2:$D$301,D124,$AD$2:$AD$301,"是")&gt;1),"重复汇总：同视频SKU仅选一行",IF(AND(AC124="已复盘",AD124="是",ISNUMBER(Y124),AE124&lt;&gt;""),"可汇总","观察中/未完成结算核对"))))))))</f>
        <v/>
      </c>
      <c r="AG124" s="9">
        <f>IF(C124="","",IF(OR(H124="",I124=""),"待补充",IF(COUNTIFS($C$2:$C$301,C124,$H$2:$H$301,H124,$I$2:$I$301,I124)&lt;&gt;COUNTIF($C$2:$C$301,C124),"请统一日期/负责人",IF(COUNTIF($C$2:C124,C124)=1,1,0))))</f>
        <v/>
      </c>
    </row>
    <row r="125" spans="25:33" ht="34" customHeight="1">
      <c r="Y125" s="10">
        <f>IF(A125="","",IF(COUNT(P125,R125:S125,U125:X125)&lt;7,"待补充",IF(MIN(P125,R125:S125,U125:X125)&lt;0,"检查输入",ROUND(P125-SUM(R125:S125)-SUM(U125:X125),4))))</f>
        <v/>
      </c>
      <c r="AF125" s="9">
        <f>IF(A125="","",IF(COUNTIF($A$2:$A$301,A125)&gt;1,"归因记录ID重复",IF(OR(B125="",C125="",D125="",H125="",COUNT(E125:G125)&lt;3,I125="",Z125=""),"待补归因/证据/日期",IF(F125&lt;E125,"窗口起止错误",IF(COUNTIF('达人线索与合作'!$B$2:$B$301,B125)&lt;&gt;1,"合作ID未唯一匹配",IF(COUNTIFS($B$2:$B$301,B125,$C$2:$C$301,C125,$D$2:$D$301,D125,$E$2:$E$301,E125,$F$2:$F$301,F125)&gt;1,"窗口重复：应更新原行",IF(AND(AD125="是",COUNTIFS($B$2:$B$301,B125,$C$2:$C$301,C125,$D$2:$D$301,D125,$AD$2:$AD$301,"是")&gt;1),"重复汇总：同视频SKU仅选一行",IF(AND(AC125="已复盘",AD125="是",ISNUMBER(Y125),AE125&lt;&gt;""),"可汇总","观察中/未完成结算核对"))))))))</f>
        <v/>
      </c>
      <c r="AG125" s="9">
        <f>IF(C125="","",IF(OR(H125="",I125=""),"待补充",IF(COUNTIFS($C$2:$C$301,C125,$H$2:$H$301,H125,$I$2:$I$301,I125)&lt;&gt;COUNTIF($C$2:$C$301,C125),"请统一日期/负责人",IF(COUNTIF($C$2:C125,C125)=1,1,0))))</f>
        <v/>
      </c>
    </row>
    <row r="126" spans="25:33" ht="34" customHeight="1">
      <c r="Y126" s="10">
        <f>IF(A126="","",IF(COUNT(P126,R126:S126,U126:X126)&lt;7,"待补充",IF(MIN(P126,R126:S126,U126:X126)&lt;0,"检查输入",ROUND(P126-SUM(R126:S126)-SUM(U126:X126),4))))</f>
        <v/>
      </c>
      <c r="AF126" s="9">
        <f>IF(A126="","",IF(COUNTIF($A$2:$A$301,A126)&gt;1,"归因记录ID重复",IF(OR(B126="",C126="",D126="",H126="",COUNT(E126:G126)&lt;3,I126="",Z126=""),"待补归因/证据/日期",IF(F126&lt;E126,"窗口起止错误",IF(COUNTIF('达人线索与合作'!$B$2:$B$301,B126)&lt;&gt;1,"合作ID未唯一匹配",IF(COUNTIFS($B$2:$B$301,B126,$C$2:$C$301,C126,$D$2:$D$301,D126,$E$2:$E$301,E126,$F$2:$F$301,F126)&gt;1,"窗口重复：应更新原行",IF(AND(AD126="是",COUNTIFS($B$2:$B$301,B126,$C$2:$C$301,C126,$D$2:$D$301,D126,$AD$2:$AD$301,"是")&gt;1),"重复汇总：同视频SKU仅选一行",IF(AND(AC126="已复盘",AD126="是",ISNUMBER(Y126),AE126&lt;&gt;""),"可汇总","观察中/未完成结算核对"))))))))</f>
        <v/>
      </c>
      <c r="AG126" s="9">
        <f>IF(C126="","",IF(OR(H126="",I126=""),"待补充",IF(COUNTIFS($C$2:$C$301,C126,$H$2:$H$301,H126,$I$2:$I$301,I126)&lt;&gt;COUNTIF($C$2:$C$301,C126),"请统一日期/负责人",IF(COUNTIF($C$2:C126,C126)=1,1,0))))</f>
        <v/>
      </c>
    </row>
    <row r="127" spans="25:33" ht="34" customHeight="1">
      <c r="Y127" s="10">
        <f>IF(A127="","",IF(COUNT(P127,R127:S127,U127:X127)&lt;7,"待补充",IF(MIN(P127,R127:S127,U127:X127)&lt;0,"检查输入",ROUND(P127-SUM(R127:S127)-SUM(U127:X127),4))))</f>
        <v/>
      </c>
      <c r="AF127" s="9">
        <f>IF(A127="","",IF(COUNTIF($A$2:$A$301,A127)&gt;1,"归因记录ID重复",IF(OR(B127="",C127="",D127="",H127="",COUNT(E127:G127)&lt;3,I127="",Z127=""),"待补归因/证据/日期",IF(F127&lt;E127,"窗口起止错误",IF(COUNTIF('达人线索与合作'!$B$2:$B$301,B127)&lt;&gt;1,"合作ID未唯一匹配",IF(COUNTIFS($B$2:$B$301,B127,$C$2:$C$301,C127,$D$2:$D$301,D127,$E$2:$E$301,E127,$F$2:$F$301,F127)&gt;1,"窗口重复：应更新原行",IF(AND(AD127="是",COUNTIFS($B$2:$B$301,B127,$C$2:$C$301,C127,$D$2:$D$301,D127,$AD$2:$AD$301,"是")&gt;1),"重复汇总：同视频SKU仅选一行",IF(AND(AC127="已复盘",AD127="是",ISNUMBER(Y127),AE127&lt;&gt;""),"可汇总","观察中/未完成结算核对"))))))))</f>
        <v/>
      </c>
      <c r="AG127" s="9">
        <f>IF(C127="","",IF(OR(H127="",I127=""),"待补充",IF(COUNTIFS($C$2:$C$301,C127,$H$2:$H$301,H127,$I$2:$I$301,I127)&lt;&gt;COUNTIF($C$2:$C$301,C127),"请统一日期/负责人",IF(COUNTIF($C$2:C127,C127)=1,1,0))))</f>
        <v/>
      </c>
    </row>
    <row r="128" spans="25:33" ht="34" customHeight="1">
      <c r="Y128" s="10">
        <f>IF(A128="","",IF(COUNT(P128,R128:S128,U128:X128)&lt;7,"待补充",IF(MIN(P128,R128:S128,U128:X128)&lt;0,"检查输入",ROUND(P128-SUM(R128:S128)-SUM(U128:X128),4))))</f>
        <v/>
      </c>
      <c r="AF128" s="9">
        <f>IF(A128="","",IF(COUNTIF($A$2:$A$301,A128)&gt;1,"归因记录ID重复",IF(OR(B128="",C128="",D128="",H128="",COUNT(E128:G128)&lt;3,I128="",Z128=""),"待补归因/证据/日期",IF(F128&lt;E128,"窗口起止错误",IF(COUNTIF('达人线索与合作'!$B$2:$B$301,B128)&lt;&gt;1,"合作ID未唯一匹配",IF(COUNTIFS($B$2:$B$301,B128,$C$2:$C$301,C128,$D$2:$D$301,D128,$E$2:$E$301,E128,$F$2:$F$301,F128)&gt;1,"窗口重复：应更新原行",IF(AND(AD128="是",COUNTIFS($B$2:$B$301,B128,$C$2:$C$301,C128,$D$2:$D$301,D128,$AD$2:$AD$301,"是")&gt;1),"重复汇总：同视频SKU仅选一行",IF(AND(AC128="已复盘",AD128="是",ISNUMBER(Y128),AE128&lt;&gt;""),"可汇总","观察中/未完成结算核对"))))))))</f>
        <v/>
      </c>
      <c r="AG128" s="9">
        <f>IF(C128="","",IF(OR(H128="",I128=""),"待补充",IF(COUNTIFS($C$2:$C$301,C128,$H$2:$H$301,H128,$I$2:$I$301,I128)&lt;&gt;COUNTIF($C$2:$C$301,C128),"请统一日期/负责人",IF(COUNTIF($C$2:C128,C128)=1,1,0))))</f>
        <v/>
      </c>
    </row>
    <row r="129" spans="25:33" ht="34" customHeight="1">
      <c r="Y129" s="10">
        <f>IF(A129="","",IF(COUNT(P129,R129:S129,U129:X129)&lt;7,"待补充",IF(MIN(P129,R129:S129,U129:X129)&lt;0,"检查输入",ROUND(P129-SUM(R129:S129)-SUM(U129:X129),4))))</f>
        <v/>
      </c>
      <c r="AF129" s="9">
        <f>IF(A129="","",IF(COUNTIF($A$2:$A$301,A129)&gt;1,"归因记录ID重复",IF(OR(B129="",C129="",D129="",H129="",COUNT(E129:G129)&lt;3,I129="",Z129=""),"待补归因/证据/日期",IF(F129&lt;E129,"窗口起止错误",IF(COUNTIF('达人线索与合作'!$B$2:$B$301,B129)&lt;&gt;1,"合作ID未唯一匹配",IF(COUNTIFS($B$2:$B$301,B129,$C$2:$C$301,C129,$D$2:$D$301,D129,$E$2:$E$301,E129,$F$2:$F$301,F129)&gt;1,"窗口重复：应更新原行",IF(AND(AD129="是",COUNTIFS($B$2:$B$301,B129,$C$2:$C$301,C129,$D$2:$D$301,D129,$AD$2:$AD$301,"是")&gt;1),"重复汇总：同视频SKU仅选一行",IF(AND(AC129="已复盘",AD129="是",ISNUMBER(Y129),AE129&lt;&gt;""),"可汇总","观察中/未完成结算核对"))))))))</f>
        <v/>
      </c>
      <c r="AG129" s="9">
        <f>IF(C129="","",IF(OR(H129="",I129=""),"待补充",IF(COUNTIFS($C$2:$C$301,C129,$H$2:$H$301,H129,$I$2:$I$301,I129)&lt;&gt;COUNTIF($C$2:$C$301,C129),"请统一日期/负责人",IF(COUNTIF($C$2:C129,C129)=1,1,0))))</f>
        <v/>
      </c>
    </row>
    <row r="130" spans="25:33" ht="34" customHeight="1">
      <c r="Y130" s="10">
        <f>IF(A130="","",IF(COUNT(P130,R130:S130,U130:X130)&lt;7,"待补充",IF(MIN(P130,R130:S130,U130:X130)&lt;0,"检查输入",ROUND(P130-SUM(R130:S130)-SUM(U130:X130),4))))</f>
        <v/>
      </c>
      <c r="AF130" s="9">
        <f>IF(A130="","",IF(COUNTIF($A$2:$A$301,A130)&gt;1,"归因记录ID重复",IF(OR(B130="",C130="",D130="",H130="",COUNT(E130:G130)&lt;3,I130="",Z130=""),"待补归因/证据/日期",IF(F130&lt;E130,"窗口起止错误",IF(COUNTIF('达人线索与合作'!$B$2:$B$301,B130)&lt;&gt;1,"合作ID未唯一匹配",IF(COUNTIFS($B$2:$B$301,B130,$C$2:$C$301,C130,$D$2:$D$301,D130,$E$2:$E$301,E130,$F$2:$F$301,F130)&gt;1,"窗口重复：应更新原行",IF(AND(AD130="是",COUNTIFS($B$2:$B$301,B130,$C$2:$C$301,C130,$D$2:$D$301,D130,$AD$2:$AD$301,"是")&gt;1),"重复汇总：同视频SKU仅选一行",IF(AND(AC130="已复盘",AD130="是",ISNUMBER(Y130),AE130&lt;&gt;""),"可汇总","观察中/未完成结算核对"))))))))</f>
        <v/>
      </c>
      <c r="AG130" s="9">
        <f>IF(C130="","",IF(OR(H130="",I130=""),"待补充",IF(COUNTIFS($C$2:$C$301,C130,$H$2:$H$301,H130,$I$2:$I$301,I130)&lt;&gt;COUNTIF($C$2:$C$301,C130),"请统一日期/负责人",IF(COUNTIF($C$2:C130,C130)=1,1,0))))</f>
        <v/>
      </c>
    </row>
    <row r="131" spans="25:33" ht="34" customHeight="1">
      <c r="Y131" s="10">
        <f>IF(A131="","",IF(COUNT(P131,R131:S131,U131:X131)&lt;7,"待补充",IF(MIN(P131,R131:S131,U131:X131)&lt;0,"检查输入",ROUND(P131-SUM(R131:S131)-SUM(U131:X131),4))))</f>
        <v/>
      </c>
      <c r="AF131" s="9">
        <f>IF(A131="","",IF(COUNTIF($A$2:$A$301,A131)&gt;1,"归因记录ID重复",IF(OR(B131="",C131="",D131="",H131="",COUNT(E131:G131)&lt;3,I131="",Z131=""),"待补归因/证据/日期",IF(F131&lt;E131,"窗口起止错误",IF(COUNTIF('达人线索与合作'!$B$2:$B$301,B131)&lt;&gt;1,"合作ID未唯一匹配",IF(COUNTIFS($B$2:$B$301,B131,$C$2:$C$301,C131,$D$2:$D$301,D131,$E$2:$E$301,E131,$F$2:$F$301,F131)&gt;1,"窗口重复：应更新原行",IF(AND(AD131="是",COUNTIFS($B$2:$B$301,B131,$C$2:$C$301,C131,$D$2:$D$301,D131,$AD$2:$AD$301,"是")&gt;1),"重复汇总：同视频SKU仅选一行",IF(AND(AC131="已复盘",AD131="是",ISNUMBER(Y131),AE131&lt;&gt;""),"可汇总","观察中/未完成结算核对"))))))))</f>
        <v/>
      </c>
      <c r="AG131" s="9">
        <f>IF(C131="","",IF(OR(H131="",I131=""),"待补充",IF(COUNTIFS($C$2:$C$301,C131,$H$2:$H$301,H131,$I$2:$I$301,I131)&lt;&gt;COUNTIF($C$2:$C$301,C131),"请统一日期/负责人",IF(COUNTIF($C$2:C131,C131)=1,1,0))))</f>
        <v/>
      </c>
    </row>
    <row r="132" spans="25:33" ht="34" customHeight="1">
      <c r="Y132" s="10">
        <f>IF(A132="","",IF(COUNT(P132,R132:S132,U132:X132)&lt;7,"待补充",IF(MIN(P132,R132:S132,U132:X132)&lt;0,"检查输入",ROUND(P132-SUM(R132:S132)-SUM(U132:X132),4))))</f>
        <v/>
      </c>
      <c r="AF132" s="9">
        <f>IF(A132="","",IF(COUNTIF($A$2:$A$301,A132)&gt;1,"归因记录ID重复",IF(OR(B132="",C132="",D132="",H132="",COUNT(E132:G132)&lt;3,I132="",Z132=""),"待补归因/证据/日期",IF(F132&lt;E132,"窗口起止错误",IF(COUNTIF('达人线索与合作'!$B$2:$B$301,B132)&lt;&gt;1,"合作ID未唯一匹配",IF(COUNTIFS($B$2:$B$301,B132,$C$2:$C$301,C132,$D$2:$D$301,D132,$E$2:$E$301,E132,$F$2:$F$301,F132)&gt;1,"窗口重复：应更新原行",IF(AND(AD132="是",COUNTIFS($B$2:$B$301,B132,$C$2:$C$301,C132,$D$2:$D$301,D132,$AD$2:$AD$301,"是")&gt;1),"重复汇总：同视频SKU仅选一行",IF(AND(AC132="已复盘",AD132="是",ISNUMBER(Y132),AE132&lt;&gt;""),"可汇总","观察中/未完成结算核对"))))))))</f>
        <v/>
      </c>
      <c r="AG132" s="9">
        <f>IF(C132="","",IF(OR(H132="",I132=""),"待补充",IF(COUNTIFS($C$2:$C$301,C132,$H$2:$H$301,H132,$I$2:$I$301,I132)&lt;&gt;COUNTIF($C$2:$C$301,C132),"请统一日期/负责人",IF(COUNTIF($C$2:C132,C132)=1,1,0))))</f>
        <v/>
      </c>
    </row>
    <row r="133" spans="25:33" ht="34" customHeight="1">
      <c r="Y133" s="10">
        <f>IF(A133="","",IF(COUNT(P133,R133:S133,U133:X133)&lt;7,"待补充",IF(MIN(P133,R133:S133,U133:X133)&lt;0,"检查输入",ROUND(P133-SUM(R133:S133)-SUM(U133:X133),4))))</f>
        <v/>
      </c>
      <c r="AF133" s="9">
        <f>IF(A133="","",IF(COUNTIF($A$2:$A$301,A133)&gt;1,"归因记录ID重复",IF(OR(B133="",C133="",D133="",H133="",COUNT(E133:G133)&lt;3,I133="",Z133=""),"待补归因/证据/日期",IF(F133&lt;E133,"窗口起止错误",IF(COUNTIF('达人线索与合作'!$B$2:$B$301,B133)&lt;&gt;1,"合作ID未唯一匹配",IF(COUNTIFS($B$2:$B$301,B133,$C$2:$C$301,C133,$D$2:$D$301,D133,$E$2:$E$301,E133,$F$2:$F$301,F133)&gt;1,"窗口重复：应更新原行",IF(AND(AD133="是",COUNTIFS($B$2:$B$301,B133,$C$2:$C$301,C133,$D$2:$D$301,D133,$AD$2:$AD$301,"是")&gt;1),"重复汇总：同视频SKU仅选一行",IF(AND(AC133="已复盘",AD133="是",ISNUMBER(Y133),AE133&lt;&gt;""),"可汇总","观察中/未完成结算核对"))))))))</f>
        <v/>
      </c>
      <c r="AG133" s="9">
        <f>IF(C133="","",IF(OR(H133="",I133=""),"待补充",IF(COUNTIFS($C$2:$C$301,C133,$H$2:$H$301,H133,$I$2:$I$301,I133)&lt;&gt;COUNTIF($C$2:$C$301,C133),"请统一日期/负责人",IF(COUNTIF($C$2:C133,C133)=1,1,0))))</f>
        <v/>
      </c>
    </row>
    <row r="134" spans="25:33" ht="34" customHeight="1">
      <c r="Y134" s="10">
        <f>IF(A134="","",IF(COUNT(P134,R134:S134,U134:X134)&lt;7,"待补充",IF(MIN(P134,R134:S134,U134:X134)&lt;0,"检查输入",ROUND(P134-SUM(R134:S134)-SUM(U134:X134),4))))</f>
        <v/>
      </c>
      <c r="AF134" s="9">
        <f>IF(A134="","",IF(COUNTIF($A$2:$A$301,A134)&gt;1,"归因记录ID重复",IF(OR(B134="",C134="",D134="",H134="",COUNT(E134:G134)&lt;3,I134="",Z134=""),"待补归因/证据/日期",IF(F134&lt;E134,"窗口起止错误",IF(COUNTIF('达人线索与合作'!$B$2:$B$301,B134)&lt;&gt;1,"合作ID未唯一匹配",IF(COUNTIFS($B$2:$B$301,B134,$C$2:$C$301,C134,$D$2:$D$301,D134,$E$2:$E$301,E134,$F$2:$F$301,F134)&gt;1,"窗口重复：应更新原行",IF(AND(AD134="是",COUNTIFS($B$2:$B$301,B134,$C$2:$C$301,C134,$D$2:$D$301,D134,$AD$2:$AD$301,"是")&gt;1),"重复汇总：同视频SKU仅选一行",IF(AND(AC134="已复盘",AD134="是",ISNUMBER(Y134),AE134&lt;&gt;""),"可汇总","观察中/未完成结算核对"))))))))</f>
        <v/>
      </c>
      <c r="AG134" s="9">
        <f>IF(C134="","",IF(OR(H134="",I134=""),"待补充",IF(COUNTIFS($C$2:$C$301,C134,$H$2:$H$301,H134,$I$2:$I$301,I134)&lt;&gt;COUNTIF($C$2:$C$301,C134),"请统一日期/负责人",IF(COUNTIF($C$2:C134,C134)=1,1,0))))</f>
        <v/>
      </c>
    </row>
    <row r="135" spans="25:33" ht="34" customHeight="1">
      <c r="Y135" s="10">
        <f>IF(A135="","",IF(COUNT(P135,R135:S135,U135:X135)&lt;7,"待补充",IF(MIN(P135,R135:S135,U135:X135)&lt;0,"检查输入",ROUND(P135-SUM(R135:S135)-SUM(U135:X135),4))))</f>
        <v/>
      </c>
      <c r="AF135" s="9">
        <f>IF(A135="","",IF(COUNTIF($A$2:$A$301,A135)&gt;1,"归因记录ID重复",IF(OR(B135="",C135="",D135="",H135="",COUNT(E135:G135)&lt;3,I135="",Z135=""),"待补归因/证据/日期",IF(F135&lt;E135,"窗口起止错误",IF(COUNTIF('达人线索与合作'!$B$2:$B$301,B135)&lt;&gt;1,"合作ID未唯一匹配",IF(COUNTIFS($B$2:$B$301,B135,$C$2:$C$301,C135,$D$2:$D$301,D135,$E$2:$E$301,E135,$F$2:$F$301,F135)&gt;1,"窗口重复：应更新原行",IF(AND(AD135="是",COUNTIFS($B$2:$B$301,B135,$C$2:$C$301,C135,$D$2:$D$301,D135,$AD$2:$AD$301,"是")&gt;1),"重复汇总：同视频SKU仅选一行",IF(AND(AC135="已复盘",AD135="是",ISNUMBER(Y135),AE135&lt;&gt;""),"可汇总","观察中/未完成结算核对"))))))))</f>
        <v/>
      </c>
      <c r="AG135" s="9">
        <f>IF(C135="","",IF(OR(H135="",I135=""),"待补充",IF(COUNTIFS($C$2:$C$301,C135,$H$2:$H$301,H135,$I$2:$I$301,I135)&lt;&gt;COUNTIF($C$2:$C$301,C135),"请统一日期/负责人",IF(COUNTIF($C$2:C135,C135)=1,1,0))))</f>
        <v/>
      </c>
    </row>
    <row r="136" spans="25:33" ht="34" customHeight="1">
      <c r="Y136" s="10">
        <f>IF(A136="","",IF(COUNT(P136,R136:S136,U136:X136)&lt;7,"待补充",IF(MIN(P136,R136:S136,U136:X136)&lt;0,"检查输入",ROUND(P136-SUM(R136:S136)-SUM(U136:X136),4))))</f>
        <v/>
      </c>
      <c r="AF136" s="9">
        <f>IF(A136="","",IF(COUNTIF($A$2:$A$301,A136)&gt;1,"归因记录ID重复",IF(OR(B136="",C136="",D136="",H136="",COUNT(E136:G136)&lt;3,I136="",Z136=""),"待补归因/证据/日期",IF(F136&lt;E136,"窗口起止错误",IF(COUNTIF('达人线索与合作'!$B$2:$B$301,B136)&lt;&gt;1,"合作ID未唯一匹配",IF(COUNTIFS($B$2:$B$301,B136,$C$2:$C$301,C136,$D$2:$D$301,D136,$E$2:$E$301,E136,$F$2:$F$301,F136)&gt;1,"窗口重复：应更新原行",IF(AND(AD136="是",COUNTIFS($B$2:$B$301,B136,$C$2:$C$301,C136,$D$2:$D$301,D136,$AD$2:$AD$301,"是")&gt;1),"重复汇总：同视频SKU仅选一行",IF(AND(AC136="已复盘",AD136="是",ISNUMBER(Y136),AE136&lt;&gt;""),"可汇总","观察中/未完成结算核对"))))))))</f>
        <v/>
      </c>
      <c r="AG136" s="9">
        <f>IF(C136="","",IF(OR(H136="",I136=""),"待补充",IF(COUNTIFS($C$2:$C$301,C136,$H$2:$H$301,H136,$I$2:$I$301,I136)&lt;&gt;COUNTIF($C$2:$C$301,C136),"请统一日期/负责人",IF(COUNTIF($C$2:C136,C136)=1,1,0))))</f>
        <v/>
      </c>
    </row>
    <row r="137" spans="25:33" ht="34" customHeight="1">
      <c r="Y137" s="10">
        <f>IF(A137="","",IF(COUNT(P137,R137:S137,U137:X137)&lt;7,"待补充",IF(MIN(P137,R137:S137,U137:X137)&lt;0,"检查输入",ROUND(P137-SUM(R137:S137)-SUM(U137:X137),4))))</f>
        <v/>
      </c>
      <c r="AF137" s="9">
        <f>IF(A137="","",IF(COUNTIF($A$2:$A$301,A137)&gt;1,"归因记录ID重复",IF(OR(B137="",C137="",D137="",H137="",COUNT(E137:G137)&lt;3,I137="",Z137=""),"待补归因/证据/日期",IF(F137&lt;E137,"窗口起止错误",IF(COUNTIF('达人线索与合作'!$B$2:$B$301,B137)&lt;&gt;1,"合作ID未唯一匹配",IF(COUNTIFS($B$2:$B$301,B137,$C$2:$C$301,C137,$D$2:$D$301,D137,$E$2:$E$301,E137,$F$2:$F$301,F137)&gt;1,"窗口重复：应更新原行",IF(AND(AD137="是",COUNTIFS($B$2:$B$301,B137,$C$2:$C$301,C137,$D$2:$D$301,D137,$AD$2:$AD$301,"是")&gt;1),"重复汇总：同视频SKU仅选一行",IF(AND(AC137="已复盘",AD137="是",ISNUMBER(Y137),AE137&lt;&gt;""),"可汇总","观察中/未完成结算核对"))))))))</f>
        <v/>
      </c>
      <c r="AG137" s="9">
        <f>IF(C137="","",IF(OR(H137="",I137=""),"待补充",IF(COUNTIFS($C$2:$C$301,C137,$H$2:$H$301,H137,$I$2:$I$301,I137)&lt;&gt;COUNTIF($C$2:$C$301,C137),"请统一日期/负责人",IF(COUNTIF($C$2:C137,C137)=1,1,0))))</f>
        <v/>
      </c>
    </row>
    <row r="138" spans="25:33" ht="34" customHeight="1">
      <c r="Y138" s="10">
        <f>IF(A138="","",IF(COUNT(P138,R138:S138,U138:X138)&lt;7,"待补充",IF(MIN(P138,R138:S138,U138:X138)&lt;0,"检查输入",ROUND(P138-SUM(R138:S138)-SUM(U138:X138),4))))</f>
        <v/>
      </c>
      <c r="AF138" s="9">
        <f>IF(A138="","",IF(COUNTIF($A$2:$A$301,A138)&gt;1,"归因记录ID重复",IF(OR(B138="",C138="",D138="",H138="",COUNT(E138:G138)&lt;3,I138="",Z138=""),"待补归因/证据/日期",IF(F138&lt;E138,"窗口起止错误",IF(COUNTIF('达人线索与合作'!$B$2:$B$301,B138)&lt;&gt;1,"合作ID未唯一匹配",IF(COUNTIFS($B$2:$B$301,B138,$C$2:$C$301,C138,$D$2:$D$301,D138,$E$2:$E$301,E138,$F$2:$F$301,F138)&gt;1,"窗口重复：应更新原行",IF(AND(AD138="是",COUNTIFS($B$2:$B$301,B138,$C$2:$C$301,C138,$D$2:$D$301,D138,$AD$2:$AD$301,"是")&gt;1),"重复汇总：同视频SKU仅选一行",IF(AND(AC138="已复盘",AD138="是",ISNUMBER(Y138),AE138&lt;&gt;""),"可汇总","观察中/未完成结算核对"))))))))</f>
        <v/>
      </c>
      <c r="AG138" s="9">
        <f>IF(C138="","",IF(OR(H138="",I138=""),"待补充",IF(COUNTIFS($C$2:$C$301,C138,$H$2:$H$301,H138,$I$2:$I$301,I138)&lt;&gt;COUNTIF($C$2:$C$301,C138),"请统一日期/负责人",IF(COUNTIF($C$2:C138,C138)=1,1,0))))</f>
        <v/>
      </c>
    </row>
    <row r="139" spans="25:33" ht="34" customHeight="1">
      <c r="Y139" s="10">
        <f>IF(A139="","",IF(COUNT(P139,R139:S139,U139:X139)&lt;7,"待补充",IF(MIN(P139,R139:S139,U139:X139)&lt;0,"检查输入",ROUND(P139-SUM(R139:S139)-SUM(U139:X139),4))))</f>
        <v/>
      </c>
      <c r="AF139" s="9">
        <f>IF(A139="","",IF(COUNTIF($A$2:$A$301,A139)&gt;1,"归因记录ID重复",IF(OR(B139="",C139="",D139="",H139="",COUNT(E139:G139)&lt;3,I139="",Z139=""),"待补归因/证据/日期",IF(F139&lt;E139,"窗口起止错误",IF(COUNTIF('达人线索与合作'!$B$2:$B$301,B139)&lt;&gt;1,"合作ID未唯一匹配",IF(COUNTIFS($B$2:$B$301,B139,$C$2:$C$301,C139,$D$2:$D$301,D139,$E$2:$E$301,E139,$F$2:$F$301,F139)&gt;1,"窗口重复：应更新原行",IF(AND(AD139="是",COUNTIFS($B$2:$B$301,B139,$C$2:$C$301,C139,$D$2:$D$301,D139,$AD$2:$AD$301,"是")&gt;1),"重复汇总：同视频SKU仅选一行",IF(AND(AC139="已复盘",AD139="是",ISNUMBER(Y139),AE139&lt;&gt;""),"可汇总","观察中/未完成结算核对"))))))))</f>
        <v/>
      </c>
      <c r="AG139" s="9">
        <f>IF(C139="","",IF(OR(H139="",I139=""),"待补充",IF(COUNTIFS($C$2:$C$301,C139,$H$2:$H$301,H139,$I$2:$I$301,I139)&lt;&gt;COUNTIF($C$2:$C$301,C139),"请统一日期/负责人",IF(COUNTIF($C$2:C139,C139)=1,1,0))))</f>
        <v/>
      </c>
    </row>
    <row r="140" spans="25:33" ht="34" customHeight="1">
      <c r="Y140" s="10">
        <f>IF(A140="","",IF(COUNT(P140,R140:S140,U140:X140)&lt;7,"待补充",IF(MIN(P140,R140:S140,U140:X140)&lt;0,"检查输入",ROUND(P140-SUM(R140:S140)-SUM(U140:X140),4))))</f>
        <v/>
      </c>
      <c r="AF140" s="9">
        <f>IF(A140="","",IF(COUNTIF($A$2:$A$301,A140)&gt;1,"归因记录ID重复",IF(OR(B140="",C140="",D140="",H140="",COUNT(E140:G140)&lt;3,I140="",Z140=""),"待补归因/证据/日期",IF(F140&lt;E140,"窗口起止错误",IF(COUNTIF('达人线索与合作'!$B$2:$B$301,B140)&lt;&gt;1,"合作ID未唯一匹配",IF(COUNTIFS($B$2:$B$301,B140,$C$2:$C$301,C140,$D$2:$D$301,D140,$E$2:$E$301,E140,$F$2:$F$301,F140)&gt;1,"窗口重复：应更新原行",IF(AND(AD140="是",COUNTIFS($B$2:$B$301,B140,$C$2:$C$301,C140,$D$2:$D$301,D140,$AD$2:$AD$301,"是")&gt;1),"重复汇总：同视频SKU仅选一行",IF(AND(AC140="已复盘",AD140="是",ISNUMBER(Y140),AE140&lt;&gt;""),"可汇总","观察中/未完成结算核对"))))))))</f>
        <v/>
      </c>
      <c r="AG140" s="9">
        <f>IF(C140="","",IF(OR(H140="",I140=""),"待补充",IF(COUNTIFS($C$2:$C$301,C140,$H$2:$H$301,H140,$I$2:$I$301,I140)&lt;&gt;COUNTIF($C$2:$C$301,C140),"请统一日期/负责人",IF(COUNTIF($C$2:C140,C140)=1,1,0))))</f>
        <v/>
      </c>
    </row>
    <row r="141" spans="25:33" ht="34" customHeight="1">
      <c r="Y141" s="10">
        <f>IF(A141="","",IF(COUNT(P141,R141:S141,U141:X141)&lt;7,"待补充",IF(MIN(P141,R141:S141,U141:X141)&lt;0,"检查输入",ROUND(P141-SUM(R141:S141)-SUM(U141:X141),4))))</f>
        <v/>
      </c>
      <c r="AF141" s="9">
        <f>IF(A141="","",IF(COUNTIF($A$2:$A$301,A141)&gt;1,"归因记录ID重复",IF(OR(B141="",C141="",D141="",H141="",COUNT(E141:G141)&lt;3,I141="",Z141=""),"待补归因/证据/日期",IF(F141&lt;E141,"窗口起止错误",IF(COUNTIF('达人线索与合作'!$B$2:$B$301,B141)&lt;&gt;1,"合作ID未唯一匹配",IF(COUNTIFS($B$2:$B$301,B141,$C$2:$C$301,C141,$D$2:$D$301,D141,$E$2:$E$301,E141,$F$2:$F$301,F141)&gt;1,"窗口重复：应更新原行",IF(AND(AD141="是",COUNTIFS($B$2:$B$301,B141,$C$2:$C$301,C141,$D$2:$D$301,D141,$AD$2:$AD$301,"是")&gt;1),"重复汇总：同视频SKU仅选一行",IF(AND(AC141="已复盘",AD141="是",ISNUMBER(Y141),AE141&lt;&gt;""),"可汇总","观察中/未完成结算核对"))))))))</f>
        <v/>
      </c>
      <c r="AG141" s="9">
        <f>IF(C141="","",IF(OR(H141="",I141=""),"待补充",IF(COUNTIFS($C$2:$C$301,C141,$H$2:$H$301,H141,$I$2:$I$301,I141)&lt;&gt;COUNTIF($C$2:$C$301,C141),"请统一日期/负责人",IF(COUNTIF($C$2:C141,C141)=1,1,0))))</f>
        <v/>
      </c>
    </row>
    <row r="142" spans="25:33" ht="34" customHeight="1">
      <c r="Y142" s="10">
        <f>IF(A142="","",IF(COUNT(P142,R142:S142,U142:X142)&lt;7,"待补充",IF(MIN(P142,R142:S142,U142:X142)&lt;0,"检查输入",ROUND(P142-SUM(R142:S142)-SUM(U142:X142),4))))</f>
        <v/>
      </c>
      <c r="AF142" s="9">
        <f>IF(A142="","",IF(COUNTIF($A$2:$A$301,A142)&gt;1,"归因记录ID重复",IF(OR(B142="",C142="",D142="",H142="",COUNT(E142:G142)&lt;3,I142="",Z142=""),"待补归因/证据/日期",IF(F142&lt;E142,"窗口起止错误",IF(COUNTIF('达人线索与合作'!$B$2:$B$301,B142)&lt;&gt;1,"合作ID未唯一匹配",IF(COUNTIFS($B$2:$B$301,B142,$C$2:$C$301,C142,$D$2:$D$301,D142,$E$2:$E$301,E142,$F$2:$F$301,F142)&gt;1,"窗口重复：应更新原行",IF(AND(AD142="是",COUNTIFS($B$2:$B$301,B142,$C$2:$C$301,C142,$D$2:$D$301,D142,$AD$2:$AD$301,"是")&gt;1),"重复汇总：同视频SKU仅选一行",IF(AND(AC142="已复盘",AD142="是",ISNUMBER(Y142),AE142&lt;&gt;""),"可汇总","观察中/未完成结算核对"))))))))</f>
        <v/>
      </c>
      <c r="AG142" s="9">
        <f>IF(C142="","",IF(OR(H142="",I142=""),"待补充",IF(COUNTIFS($C$2:$C$301,C142,$H$2:$H$301,H142,$I$2:$I$301,I142)&lt;&gt;COUNTIF($C$2:$C$301,C142),"请统一日期/负责人",IF(COUNTIF($C$2:C142,C142)=1,1,0))))</f>
        <v/>
      </c>
    </row>
    <row r="143" spans="25:33" ht="34" customHeight="1">
      <c r="Y143" s="10">
        <f>IF(A143="","",IF(COUNT(P143,R143:S143,U143:X143)&lt;7,"待补充",IF(MIN(P143,R143:S143,U143:X143)&lt;0,"检查输入",ROUND(P143-SUM(R143:S143)-SUM(U143:X143),4))))</f>
        <v/>
      </c>
      <c r="AF143" s="9">
        <f>IF(A143="","",IF(COUNTIF($A$2:$A$301,A143)&gt;1,"归因记录ID重复",IF(OR(B143="",C143="",D143="",H143="",COUNT(E143:G143)&lt;3,I143="",Z143=""),"待补归因/证据/日期",IF(F143&lt;E143,"窗口起止错误",IF(COUNTIF('达人线索与合作'!$B$2:$B$301,B143)&lt;&gt;1,"合作ID未唯一匹配",IF(COUNTIFS($B$2:$B$301,B143,$C$2:$C$301,C143,$D$2:$D$301,D143,$E$2:$E$301,E143,$F$2:$F$301,F143)&gt;1,"窗口重复：应更新原行",IF(AND(AD143="是",COUNTIFS($B$2:$B$301,B143,$C$2:$C$301,C143,$D$2:$D$301,D143,$AD$2:$AD$301,"是")&gt;1),"重复汇总：同视频SKU仅选一行",IF(AND(AC143="已复盘",AD143="是",ISNUMBER(Y143),AE143&lt;&gt;""),"可汇总","观察中/未完成结算核对"))))))))</f>
        <v/>
      </c>
      <c r="AG143" s="9">
        <f>IF(C143="","",IF(OR(H143="",I143=""),"待补充",IF(COUNTIFS($C$2:$C$301,C143,$H$2:$H$301,H143,$I$2:$I$301,I143)&lt;&gt;COUNTIF($C$2:$C$301,C143),"请统一日期/负责人",IF(COUNTIF($C$2:C143,C143)=1,1,0))))</f>
        <v/>
      </c>
    </row>
    <row r="144" spans="25:33" ht="34" customHeight="1">
      <c r="Y144" s="10">
        <f>IF(A144="","",IF(COUNT(P144,R144:S144,U144:X144)&lt;7,"待补充",IF(MIN(P144,R144:S144,U144:X144)&lt;0,"检查输入",ROUND(P144-SUM(R144:S144)-SUM(U144:X144),4))))</f>
        <v/>
      </c>
      <c r="AF144" s="9">
        <f>IF(A144="","",IF(COUNTIF($A$2:$A$301,A144)&gt;1,"归因记录ID重复",IF(OR(B144="",C144="",D144="",H144="",COUNT(E144:G144)&lt;3,I144="",Z144=""),"待补归因/证据/日期",IF(F144&lt;E144,"窗口起止错误",IF(COUNTIF('达人线索与合作'!$B$2:$B$301,B144)&lt;&gt;1,"合作ID未唯一匹配",IF(COUNTIFS($B$2:$B$301,B144,$C$2:$C$301,C144,$D$2:$D$301,D144,$E$2:$E$301,E144,$F$2:$F$301,F144)&gt;1,"窗口重复：应更新原行",IF(AND(AD144="是",COUNTIFS($B$2:$B$301,B144,$C$2:$C$301,C144,$D$2:$D$301,D144,$AD$2:$AD$301,"是")&gt;1),"重复汇总：同视频SKU仅选一行",IF(AND(AC144="已复盘",AD144="是",ISNUMBER(Y144),AE144&lt;&gt;""),"可汇总","观察中/未完成结算核对"))))))))</f>
        <v/>
      </c>
      <c r="AG144" s="9">
        <f>IF(C144="","",IF(OR(H144="",I144=""),"待补充",IF(COUNTIFS($C$2:$C$301,C144,$H$2:$H$301,H144,$I$2:$I$301,I144)&lt;&gt;COUNTIF($C$2:$C$301,C144),"请统一日期/负责人",IF(COUNTIF($C$2:C144,C144)=1,1,0))))</f>
        <v/>
      </c>
    </row>
    <row r="145" spans="25:33" ht="34" customHeight="1">
      <c r="Y145" s="10">
        <f>IF(A145="","",IF(COUNT(P145,R145:S145,U145:X145)&lt;7,"待补充",IF(MIN(P145,R145:S145,U145:X145)&lt;0,"检查输入",ROUND(P145-SUM(R145:S145)-SUM(U145:X145),4))))</f>
        <v/>
      </c>
      <c r="AF145" s="9">
        <f>IF(A145="","",IF(COUNTIF($A$2:$A$301,A145)&gt;1,"归因记录ID重复",IF(OR(B145="",C145="",D145="",H145="",COUNT(E145:G145)&lt;3,I145="",Z145=""),"待补归因/证据/日期",IF(F145&lt;E145,"窗口起止错误",IF(COUNTIF('达人线索与合作'!$B$2:$B$301,B145)&lt;&gt;1,"合作ID未唯一匹配",IF(COUNTIFS($B$2:$B$301,B145,$C$2:$C$301,C145,$D$2:$D$301,D145,$E$2:$E$301,E145,$F$2:$F$301,F145)&gt;1,"窗口重复：应更新原行",IF(AND(AD145="是",COUNTIFS($B$2:$B$301,B145,$C$2:$C$301,C145,$D$2:$D$301,D145,$AD$2:$AD$301,"是")&gt;1),"重复汇总：同视频SKU仅选一行",IF(AND(AC145="已复盘",AD145="是",ISNUMBER(Y145),AE145&lt;&gt;""),"可汇总","观察中/未完成结算核对"))))))))</f>
        <v/>
      </c>
      <c r="AG145" s="9">
        <f>IF(C145="","",IF(OR(H145="",I145=""),"待补充",IF(COUNTIFS($C$2:$C$301,C145,$H$2:$H$301,H145,$I$2:$I$301,I145)&lt;&gt;COUNTIF($C$2:$C$301,C145),"请统一日期/负责人",IF(COUNTIF($C$2:C145,C145)=1,1,0))))</f>
        <v/>
      </c>
    </row>
    <row r="146" spans="25:33" ht="34" customHeight="1">
      <c r="Y146" s="10">
        <f>IF(A146="","",IF(COUNT(P146,R146:S146,U146:X146)&lt;7,"待补充",IF(MIN(P146,R146:S146,U146:X146)&lt;0,"检查输入",ROUND(P146-SUM(R146:S146)-SUM(U146:X146),4))))</f>
        <v/>
      </c>
      <c r="AF146" s="9">
        <f>IF(A146="","",IF(COUNTIF($A$2:$A$301,A146)&gt;1,"归因记录ID重复",IF(OR(B146="",C146="",D146="",H146="",COUNT(E146:G146)&lt;3,I146="",Z146=""),"待补归因/证据/日期",IF(F146&lt;E146,"窗口起止错误",IF(COUNTIF('达人线索与合作'!$B$2:$B$301,B146)&lt;&gt;1,"合作ID未唯一匹配",IF(COUNTIFS($B$2:$B$301,B146,$C$2:$C$301,C146,$D$2:$D$301,D146,$E$2:$E$301,E146,$F$2:$F$301,F146)&gt;1,"窗口重复：应更新原行",IF(AND(AD146="是",COUNTIFS($B$2:$B$301,B146,$C$2:$C$301,C146,$D$2:$D$301,D146,$AD$2:$AD$301,"是")&gt;1),"重复汇总：同视频SKU仅选一行",IF(AND(AC146="已复盘",AD146="是",ISNUMBER(Y146),AE146&lt;&gt;""),"可汇总","观察中/未完成结算核对"))))))))</f>
        <v/>
      </c>
      <c r="AG146" s="9">
        <f>IF(C146="","",IF(OR(H146="",I146=""),"待补充",IF(COUNTIFS($C$2:$C$301,C146,$H$2:$H$301,H146,$I$2:$I$301,I146)&lt;&gt;COUNTIF($C$2:$C$301,C146),"请统一日期/负责人",IF(COUNTIF($C$2:C146,C146)=1,1,0))))</f>
        <v/>
      </c>
    </row>
    <row r="147" spans="25:33" ht="34" customHeight="1">
      <c r="Y147" s="10">
        <f>IF(A147="","",IF(COUNT(P147,R147:S147,U147:X147)&lt;7,"待补充",IF(MIN(P147,R147:S147,U147:X147)&lt;0,"检查输入",ROUND(P147-SUM(R147:S147)-SUM(U147:X147),4))))</f>
        <v/>
      </c>
      <c r="AF147" s="9">
        <f>IF(A147="","",IF(COUNTIF($A$2:$A$301,A147)&gt;1,"归因记录ID重复",IF(OR(B147="",C147="",D147="",H147="",COUNT(E147:G147)&lt;3,I147="",Z147=""),"待补归因/证据/日期",IF(F147&lt;E147,"窗口起止错误",IF(COUNTIF('达人线索与合作'!$B$2:$B$301,B147)&lt;&gt;1,"合作ID未唯一匹配",IF(COUNTIFS($B$2:$B$301,B147,$C$2:$C$301,C147,$D$2:$D$301,D147,$E$2:$E$301,E147,$F$2:$F$301,F147)&gt;1,"窗口重复：应更新原行",IF(AND(AD147="是",COUNTIFS($B$2:$B$301,B147,$C$2:$C$301,C147,$D$2:$D$301,D147,$AD$2:$AD$301,"是")&gt;1),"重复汇总：同视频SKU仅选一行",IF(AND(AC147="已复盘",AD147="是",ISNUMBER(Y147),AE147&lt;&gt;""),"可汇总","观察中/未完成结算核对"))))))))</f>
        <v/>
      </c>
      <c r="AG147" s="9">
        <f>IF(C147="","",IF(OR(H147="",I147=""),"待补充",IF(COUNTIFS($C$2:$C$301,C147,$H$2:$H$301,H147,$I$2:$I$301,I147)&lt;&gt;COUNTIF($C$2:$C$301,C147),"请统一日期/负责人",IF(COUNTIF($C$2:C147,C147)=1,1,0))))</f>
        <v/>
      </c>
    </row>
    <row r="148" spans="25:33" ht="34" customHeight="1">
      <c r="Y148" s="10">
        <f>IF(A148="","",IF(COUNT(P148,R148:S148,U148:X148)&lt;7,"待补充",IF(MIN(P148,R148:S148,U148:X148)&lt;0,"检查输入",ROUND(P148-SUM(R148:S148)-SUM(U148:X148),4))))</f>
        <v/>
      </c>
      <c r="AF148" s="9">
        <f>IF(A148="","",IF(COUNTIF($A$2:$A$301,A148)&gt;1,"归因记录ID重复",IF(OR(B148="",C148="",D148="",H148="",COUNT(E148:G148)&lt;3,I148="",Z148=""),"待补归因/证据/日期",IF(F148&lt;E148,"窗口起止错误",IF(COUNTIF('达人线索与合作'!$B$2:$B$301,B148)&lt;&gt;1,"合作ID未唯一匹配",IF(COUNTIFS($B$2:$B$301,B148,$C$2:$C$301,C148,$D$2:$D$301,D148,$E$2:$E$301,E148,$F$2:$F$301,F148)&gt;1,"窗口重复：应更新原行",IF(AND(AD148="是",COUNTIFS($B$2:$B$301,B148,$C$2:$C$301,C148,$D$2:$D$301,D148,$AD$2:$AD$301,"是")&gt;1),"重复汇总：同视频SKU仅选一行",IF(AND(AC148="已复盘",AD148="是",ISNUMBER(Y148),AE148&lt;&gt;""),"可汇总","观察中/未完成结算核对"))))))))</f>
        <v/>
      </c>
      <c r="AG148" s="9">
        <f>IF(C148="","",IF(OR(H148="",I148=""),"待补充",IF(COUNTIFS($C$2:$C$301,C148,$H$2:$H$301,H148,$I$2:$I$301,I148)&lt;&gt;COUNTIF($C$2:$C$301,C148),"请统一日期/负责人",IF(COUNTIF($C$2:C148,C148)=1,1,0))))</f>
        <v/>
      </c>
    </row>
    <row r="149" spans="25:33" ht="34" customHeight="1">
      <c r="Y149" s="10">
        <f>IF(A149="","",IF(COUNT(P149,R149:S149,U149:X149)&lt;7,"待补充",IF(MIN(P149,R149:S149,U149:X149)&lt;0,"检查输入",ROUND(P149-SUM(R149:S149)-SUM(U149:X149),4))))</f>
        <v/>
      </c>
      <c r="AF149" s="9">
        <f>IF(A149="","",IF(COUNTIF($A$2:$A$301,A149)&gt;1,"归因记录ID重复",IF(OR(B149="",C149="",D149="",H149="",COUNT(E149:G149)&lt;3,I149="",Z149=""),"待补归因/证据/日期",IF(F149&lt;E149,"窗口起止错误",IF(COUNTIF('达人线索与合作'!$B$2:$B$301,B149)&lt;&gt;1,"合作ID未唯一匹配",IF(COUNTIFS($B$2:$B$301,B149,$C$2:$C$301,C149,$D$2:$D$301,D149,$E$2:$E$301,E149,$F$2:$F$301,F149)&gt;1,"窗口重复：应更新原行",IF(AND(AD149="是",COUNTIFS($B$2:$B$301,B149,$C$2:$C$301,C149,$D$2:$D$301,D149,$AD$2:$AD$301,"是")&gt;1),"重复汇总：同视频SKU仅选一行",IF(AND(AC149="已复盘",AD149="是",ISNUMBER(Y149),AE149&lt;&gt;""),"可汇总","观察中/未完成结算核对"))))))))</f>
        <v/>
      </c>
      <c r="AG149" s="9">
        <f>IF(C149="","",IF(OR(H149="",I149=""),"待补充",IF(COUNTIFS($C$2:$C$301,C149,$H$2:$H$301,H149,$I$2:$I$301,I149)&lt;&gt;COUNTIF($C$2:$C$301,C149),"请统一日期/负责人",IF(COUNTIF($C$2:C149,C149)=1,1,0))))</f>
        <v/>
      </c>
    </row>
    <row r="150" spans="25:33" ht="34" customHeight="1">
      <c r="Y150" s="10">
        <f>IF(A150="","",IF(COUNT(P150,R150:S150,U150:X150)&lt;7,"待补充",IF(MIN(P150,R150:S150,U150:X150)&lt;0,"检查输入",ROUND(P150-SUM(R150:S150)-SUM(U150:X150),4))))</f>
        <v/>
      </c>
      <c r="AF150" s="9">
        <f>IF(A150="","",IF(COUNTIF($A$2:$A$301,A150)&gt;1,"归因记录ID重复",IF(OR(B150="",C150="",D150="",H150="",COUNT(E150:G150)&lt;3,I150="",Z150=""),"待补归因/证据/日期",IF(F150&lt;E150,"窗口起止错误",IF(COUNTIF('达人线索与合作'!$B$2:$B$301,B150)&lt;&gt;1,"合作ID未唯一匹配",IF(COUNTIFS($B$2:$B$301,B150,$C$2:$C$301,C150,$D$2:$D$301,D150,$E$2:$E$301,E150,$F$2:$F$301,F150)&gt;1,"窗口重复：应更新原行",IF(AND(AD150="是",COUNTIFS($B$2:$B$301,B150,$C$2:$C$301,C150,$D$2:$D$301,D150,$AD$2:$AD$301,"是")&gt;1),"重复汇总：同视频SKU仅选一行",IF(AND(AC150="已复盘",AD150="是",ISNUMBER(Y150),AE150&lt;&gt;""),"可汇总","观察中/未完成结算核对"))))))))</f>
        <v/>
      </c>
      <c r="AG150" s="9">
        <f>IF(C150="","",IF(OR(H150="",I150=""),"待补充",IF(COUNTIFS($C$2:$C$301,C150,$H$2:$H$301,H150,$I$2:$I$301,I150)&lt;&gt;COUNTIF($C$2:$C$301,C150),"请统一日期/负责人",IF(COUNTIF($C$2:C150,C150)=1,1,0))))</f>
        <v/>
      </c>
    </row>
    <row r="151" spans="25:33" ht="34" customHeight="1">
      <c r="Y151" s="10">
        <f>IF(A151="","",IF(COUNT(P151,R151:S151,U151:X151)&lt;7,"待补充",IF(MIN(P151,R151:S151,U151:X151)&lt;0,"检查输入",ROUND(P151-SUM(R151:S151)-SUM(U151:X151),4))))</f>
        <v/>
      </c>
      <c r="AF151" s="9">
        <f>IF(A151="","",IF(COUNTIF($A$2:$A$301,A151)&gt;1,"归因记录ID重复",IF(OR(B151="",C151="",D151="",H151="",COUNT(E151:G151)&lt;3,I151="",Z151=""),"待补归因/证据/日期",IF(F151&lt;E151,"窗口起止错误",IF(COUNTIF('达人线索与合作'!$B$2:$B$301,B151)&lt;&gt;1,"合作ID未唯一匹配",IF(COUNTIFS($B$2:$B$301,B151,$C$2:$C$301,C151,$D$2:$D$301,D151,$E$2:$E$301,E151,$F$2:$F$301,F151)&gt;1,"窗口重复：应更新原行",IF(AND(AD151="是",COUNTIFS($B$2:$B$301,B151,$C$2:$C$301,C151,$D$2:$D$301,D151,$AD$2:$AD$301,"是")&gt;1),"重复汇总：同视频SKU仅选一行",IF(AND(AC151="已复盘",AD151="是",ISNUMBER(Y151),AE151&lt;&gt;""),"可汇总","观察中/未完成结算核对"))))))))</f>
        <v/>
      </c>
      <c r="AG151" s="9">
        <f>IF(C151="","",IF(OR(H151="",I151=""),"待补充",IF(COUNTIFS($C$2:$C$301,C151,$H$2:$H$301,H151,$I$2:$I$301,I151)&lt;&gt;COUNTIF($C$2:$C$301,C151),"请统一日期/负责人",IF(COUNTIF($C$2:C151,C151)=1,1,0))))</f>
        <v/>
      </c>
    </row>
    <row r="152" spans="25:33" ht="34" customHeight="1">
      <c r="Y152" s="10">
        <f>IF(A152="","",IF(COUNT(P152,R152:S152,U152:X152)&lt;7,"待补充",IF(MIN(P152,R152:S152,U152:X152)&lt;0,"检查输入",ROUND(P152-SUM(R152:S152)-SUM(U152:X152),4))))</f>
        <v/>
      </c>
      <c r="AF152" s="9">
        <f>IF(A152="","",IF(COUNTIF($A$2:$A$301,A152)&gt;1,"归因记录ID重复",IF(OR(B152="",C152="",D152="",H152="",COUNT(E152:G152)&lt;3,I152="",Z152=""),"待补归因/证据/日期",IF(F152&lt;E152,"窗口起止错误",IF(COUNTIF('达人线索与合作'!$B$2:$B$301,B152)&lt;&gt;1,"合作ID未唯一匹配",IF(COUNTIFS($B$2:$B$301,B152,$C$2:$C$301,C152,$D$2:$D$301,D152,$E$2:$E$301,E152,$F$2:$F$301,F152)&gt;1,"窗口重复：应更新原行",IF(AND(AD152="是",COUNTIFS($B$2:$B$301,B152,$C$2:$C$301,C152,$D$2:$D$301,D152,$AD$2:$AD$301,"是")&gt;1),"重复汇总：同视频SKU仅选一行",IF(AND(AC152="已复盘",AD152="是",ISNUMBER(Y152),AE152&lt;&gt;""),"可汇总","观察中/未完成结算核对"))))))))</f>
        <v/>
      </c>
      <c r="AG152" s="9">
        <f>IF(C152="","",IF(OR(H152="",I152=""),"待补充",IF(COUNTIFS($C$2:$C$301,C152,$H$2:$H$301,H152,$I$2:$I$301,I152)&lt;&gt;COUNTIF($C$2:$C$301,C152),"请统一日期/负责人",IF(COUNTIF($C$2:C152,C152)=1,1,0))))</f>
        <v/>
      </c>
    </row>
    <row r="153" spans="25:33" ht="34" customHeight="1">
      <c r="Y153" s="10">
        <f>IF(A153="","",IF(COUNT(P153,R153:S153,U153:X153)&lt;7,"待补充",IF(MIN(P153,R153:S153,U153:X153)&lt;0,"检查输入",ROUND(P153-SUM(R153:S153)-SUM(U153:X153),4))))</f>
        <v/>
      </c>
      <c r="AF153" s="9">
        <f>IF(A153="","",IF(COUNTIF($A$2:$A$301,A153)&gt;1,"归因记录ID重复",IF(OR(B153="",C153="",D153="",H153="",COUNT(E153:G153)&lt;3,I153="",Z153=""),"待补归因/证据/日期",IF(F153&lt;E153,"窗口起止错误",IF(COUNTIF('达人线索与合作'!$B$2:$B$301,B153)&lt;&gt;1,"合作ID未唯一匹配",IF(COUNTIFS($B$2:$B$301,B153,$C$2:$C$301,C153,$D$2:$D$301,D153,$E$2:$E$301,E153,$F$2:$F$301,F153)&gt;1,"窗口重复：应更新原行",IF(AND(AD153="是",COUNTIFS($B$2:$B$301,B153,$C$2:$C$301,C153,$D$2:$D$301,D153,$AD$2:$AD$301,"是")&gt;1),"重复汇总：同视频SKU仅选一行",IF(AND(AC153="已复盘",AD153="是",ISNUMBER(Y153),AE153&lt;&gt;""),"可汇总","观察中/未完成结算核对"))))))))</f>
        <v/>
      </c>
      <c r="AG153" s="9">
        <f>IF(C153="","",IF(OR(H153="",I153=""),"待补充",IF(COUNTIFS($C$2:$C$301,C153,$H$2:$H$301,H153,$I$2:$I$301,I153)&lt;&gt;COUNTIF($C$2:$C$301,C153),"请统一日期/负责人",IF(COUNTIF($C$2:C153,C153)=1,1,0))))</f>
        <v/>
      </c>
    </row>
    <row r="154" spans="25:33" ht="34" customHeight="1">
      <c r="Y154" s="10">
        <f>IF(A154="","",IF(COUNT(P154,R154:S154,U154:X154)&lt;7,"待补充",IF(MIN(P154,R154:S154,U154:X154)&lt;0,"检查输入",ROUND(P154-SUM(R154:S154)-SUM(U154:X154),4))))</f>
        <v/>
      </c>
      <c r="AF154" s="9">
        <f>IF(A154="","",IF(COUNTIF($A$2:$A$301,A154)&gt;1,"归因记录ID重复",IF(OR(B154="",C154="",D154="",H154="",COUNT(E154:G154)&lt;3,I154="",Z154=""),"待补归因/证据/日期",IF(F154&lt;E154,"窗口起止错误",IF(COUNTIF('达人线索与合作'!$B$2:$B$301,B154)&lt;&gt;1,"合作ID未唯一匹配",IF(COUNTIFS($B$2:$B$301,B154,$C$2:$C$301,C154,$D$2:$D$301,D154,$E$2:$E$301,E154,$F$2:$F$301,F154)&gt;1,"窗口重复：应更新原行",IF(AND(AD154="是",COUNTIFS($B$2:$B$301,B154,$C$2:$C$301,C154,$D$2:$D$301,D154,$AD$2:$AD$301,"是")&gt;1),"重复汇总：同视频SKU仅选一行",IF(AND(AC154="已复盘",AD154="是",ISNUMBER(Y154),AE154&lt;&gt;""),"可汇总","观察中/未完成结算核对"))))))))</f>
        <v/>
      </c>
      <c r="AG154" s="9">
        <f>IF(C154="","",IF(OR(H154="",I154=""),"待补充",IF(COUNTIFS($C$2:$C$301,C154,$H$2:$H$301,H154,$I$2:$I$301,I154)&lt;&gt;COUNTIF($C$2:$C$301,C154),"请统一日期/负责人",IF(COUNTIF($C$2:C154,C154)=1,1,0))))</f>
        <v/>
      </c>
    </row>
    <row r="155" spans="25:33" ht="34" customHeight="1">
      <c r="Y155" s="10">
        <f>IF(A155="","",IF(COUNT(P155,R155:S155,U155:X155)&lt;7,"待补充",IF(MIN(P155,R155:S155,U155:X155)&lt;0,"检查输入",ROUND(P155-SUM(R155:S155)-SUM(U155:X155),4))))</f>
        <v/>
      </c>
      <c r="AF155" s="9">
        <f>IF(A155="","",IF(COUNTIF($A$2:$A$301,A155)&gt;1,"归因记录ID重复",IF(OR(B155="",C155="",D155="",H155="",COUNT(E155:G155)&lt;3,I155="",Z155=""),"待补归因/证据/日期",IF(F155&lt;E155,"窗口起止错误",IF(COUNTIF('达人线索与合作'!$B$2:$B$301,B155)&lt;&gt;1,"合作ID未唯一匹配",IF(COUNTIFS($B$2:$B$301,B155,$C$2:$C$301,C155,$D$2:$D$301,D155,$E$2:$E$301,E155,$F$2:$F$301,F155)&gt;1,"窗口重复：应更新原行",IF(AND(AD155="是",COUNTIFS($B$2:$B$301,B155,$C$2:$C$301,C155,$D$2:$D$301,D155,$AD$2:$AD$301,"是")&gt;1),"重复汇总：同视频SKU仅选一行",IF(AND(AC155="已复盘",AD155="是",ISNUMBER(Y155),AE155&lt;&gt;""),"可汇总","观察中/未完成结算核对"))))))))</f>
        <v/>
      </c>
      <c r="AG155" s="9">
        <f>IF(C155="","",IF(OR(H155="",I155=""),"待补充",IF(COUNTIFS($C$2:$C$301,C155,$H$2:$H$301,H155,$I$2:$I$301,I155)&lt;&gt;COUNTIF($C$2:$C$301,C155),"请统一日期/负责人",IF(COUNTIF($C$2:C155,C155)=1,1,0))))</f>
        <v/>
      </c>
    </row>
    <row r="156" spans="25:33" ht="34" customHeight="1">
      <c r="Y156" s="10">
        <f>IF(A156="","",IF(COUNT(P156,R156:S156,U156:X156)&lt;7,"待补充",IF(MIN(P156,R156:S156,U156:X156)&lt;0,"检查输入",ROUND(P156-SUM(R156:S156)-SUM(U156:X156),4))))</f>
        <v/>
      </c>
      <c r="AF156" s="9">
        <f>IF(A156="","",IF(COUNTIF($A$2:$A$301,A156)&gt;1,"归因记录ID重复",IF(OR(B156="",C156="",D156="",H156="",COUNT(E156:G156)&lt;3,I156="",Z156=""),"待补归因/证据/日期",IF(F156&lt;E156,"窗口起止错误",IF(COUNTIF('达人线索与合作'!$B$2:$B$301,B156)&lt;&gt;1,"合作ID未唯一匹配",IF(COUNTIFS($B$2:$B$301,B156,$C$2:$C$301,C156,$D$2:$D$301,D156,$E$2:$E$301,E156,$F$2:$F$301,F156)&gt;1,"窗口重复：应更新原行",IF(AND(AD156="是",COUNTIFS($B$2:$B$301,B156,$C$2:$C$301,C156,$D$2:$D$301,D156,$AD$2:$AD$301,"是")&gt;1),"重复汇总：同视频SKU仅选一行",IF(AND(AC156="已复盘",AD156="是",ISNUMBER(Y156),AE156&lt;&gt;""),"可汇总","观察中/未完成结算核对"))))))))</f>
        <v/>
      </c>
      <c r="AG156" s="9">
        <f>IF(C156="","",IF(OR(H156="",I156=""),"待补充",IF(COUNTIFS($C$2:$C$301,C156,$H$2:$H$301,H156,$I$2:$I$301,I156)&lt;&gt;COUNTIF($C$2:$C$301,C156),"请统一日期/负责人",IF(COUNTIF($C$2:C156,C156)=1,1,0))))</f>
        <v/>
      </c>
    </row>
    <row r="157" spans="25:33" ht="34" customHeight="1">
      <c r="Y157" s="10">
        <f>IF(A157="","",IF(COUNT(P157,R157:S157,U157:X157)&lt;7,"待补充",IF(MIN(P157,R157:S157,U157:X157)&lt;0,"检查输入",ROUND(P157-SUM(R157:S157)-SUM(U157:X157),4))))</f>
        <v/>
      </c>
      <c r="AF157" s="9">
        <f>IF(A157="","",IF(COUNTIF($A$2:$A$301,A157)&gt;1,"归因记录ID重复",IF(OR(B157="",C157="",D157="",H157="",COUNT(E157:G157)&lt;3,I157="",Z157=""),"待补归因/证据/日期",IF(F157&lt;E157,"窗口起止错误",IF(COUNTIF('达人线索与合作'!$B$2:$B$301,B157)&lt;&gt;1,"合作ID未唯一匹配",IF(COUNTIFS($B$2:$B$301,B157,$C$2:$C$301,C157,$D$2:$D$301,D157,$E$2:$E$301,E157,$F$2:$F$301,F157)&gt;1,"窗口重复：应更新原行",IF(AND(AD157="是",COUNTIFS($B$2:$B$301,B157,$C$2:$C$301,C157,$D$2:$D$301,D157,$AD$2:$AD$301,"是")&gt;1),"重复汇总：同视频SKU仅选一行",IF(AND(AC157="已复盘",AD157="是",ISNUMBER(Y157),AE157&lt;&gt;""),"可汇总","观察中/未完成结算核对"))))))))</f>
        <v/>
      </c>
      <c r="AG157" s="9">
        <f>IF(C157="","",IF(OR(H157="",I157=""),"待补充",IF(COUNTIFS($C$2:$C$301,C157,$H$2:$H$301,H157,$I$2:$I$301,I157)&lt;&gt;COUNTIF($C$2:$C$301,C157),"请统一日期/负责人",IF(COUNTIF($C$2:C157,C157)=1,1,0))))</f>
        <v/>
      </c>
    </row>
    <row r="158" spans="25:33" ht="34" customHeight="1">
      <c r="Y158" s="10">
        <f>IF(A158="","",IF(COUNT(P158,R158:S158,U158:X158)&lt;7,"待补充",IF(MIN(P158,R158:S158,U158:X158)&lt;0,"检查输入",ROUND(P158-SUM(R158:S158)-SUM(U158:X158),4))))</f>
        <v/>
      </c>
      <c r="AF158" s="9">
        <f>IF(A158="","",IF(COUNTIF($A$2:$A$301,A158)&gt;1,"归因记录ID重复",IF(OR(B158="",C158="",D158="",H158="",COUNT(E158:G158)&lt;3,I158="",Z158=""),"待补归因/证据/日期",IF(F158&lt;E158,"窗口起止错误",IF(COUNTIF('达人线索与合作'!$B$2:$B$301,B158)&lt;&gt;1,"合作ID未唯一匹配",IF(COUNTIFS($B$2:$B$301,B158,$C$2:$C$301,C158,$D$2:$D$301,D158,$E$2:$E$301,E158,$F$2:$F$301,F158)&gt;1,"窗口重复：应更新原行",IF(AND(AD158="是",COUNTIFS($B$2:$B$301,B158,$C$2:$C$301,C158,$D$2:$D$301,D158,$AD$2:$AD$301,"是")&gt;1),"重复汇总：同视频SKU仅选一行",IF(AND(AC158="已复盘",AD158="是",ISNUMBER(Y158),AE158&lt;&gt;""),"可汇总","观察中/未完成结算核对"))))))))</f>
        <v/>
      </c>
      <c r="AG158" s="9">
        <f>IF(C158="","",IF(OR(H158="",I158=""),"待补充",IF(COUNTIFS($C$2:$C$301,C158,$H$2:$H$301,H158,$I$2:$I$301,I158)&lt;&gt;COUNTIF($C$2:$C$301,C158),"请统一日期/负责人",IF(COUNTIF($C$2:C158,C158)=1,1,0))))</f>
        <v/>
      </c>
    </row>
    <row r="159" spans="25:33" ht="34" customHeight="1">
      <c r="Y159" s="10">
        <f>IF(A159="","",IF(COUNT(P159,R159:S159,U159:X159)&lt;7,"待补充",IF(MIN(P159,R159:S159,U159:X159)&lt;0,"检查输入",ROUND(P159-SUM(R159:S159)-SUM(U159:X159),4))))</f>
        <v/>
      </c>
      <c r="AF159" s="9">
        <f>IF(A159="","",IF(COUNTIF($A$2:$A$301,A159)&gt;1,"归因记录ID重复",IF(OR(B159="",C159="",D159="",H159="",COUNT(E159:G159)&lt;3,I159="",Z159=""),"待补归因/证据/日期",IF(F159&lt;E159,"窗口起止错误",IF(COUNTIF('达人线索与合作'!$B$2:$B$301,B159)&lt;&gt;1,"合作ID未唯一匹配",IF(COUNTIFS($B$2:$B$301,B159,$C$2:$C$301,C159,$D$2:$D$301,D159,$E$2:$E$301,E159,$F$2:$F$301,F159)&gt;1,"窗口重复：应更新原行",IF(AND(AD159="是",COUNTIFS($B$2:$B$301,B159,$C$2:$C$301,C159,$D$2:$D$301,D159,$AD$2:$AD$301,"是")&gt;1),"重复汇总：同视频SKU仅选一行",IF(AND(AC159="已复盘",AD159="是",ISNUMBER(Y159),AE159&lt;&gt;""),"可汇总","观察中/未完成结算核对"))))))))</f>
        <v/>
      </c>
      <c r="AG159" s="9">
        <f>IF(C159="","",IF(OR(H159="",I159=""),"待补充",IF(COUNTIFS($C$2:$C$301,C159,$H$2:$H$301,H159,$I$2:$I$301,I159)&lt;&gt;COUNTIF($C$2:$C$301,C159),"请统一日期/负责人",IF(COUNTIF($C$2:C159,C159)=1,1,0))))</f>
        <v/>
      </c>
    </row>
    <row r="160" spans="25:33" ht="34" customHeight="1">
      <c r="Y160" s="10">
        <f>IF(A160="","",IF(COUNT(P160,R160:S160,U160:X160)&lt;7,"待补充",IF(MIN(P160,R160:S160,U160:X160)&lt;0,"检查输入",ROUND(P160-SUM(R160:S160)-SUM(U160:X160),4))))</f>
        <v/>
      </c>
      <c r="AF160" s="9">
        <f>IF(A160="","",IF(COUNTIF($A$2:$A$301,A160)&gt;1,"归因记录ID重复",IF(OR(B160="",C160="",D160="",H160="",COUNT(E160:G160)&lt;3,I160="",Z160=""),"待补归因/证据/日期",IF(F160&lt;E160,"窗口起止错误",IF(COUNTIF('达人线索与合作'!$B$2:$B$301,B160)&lt;&gt;1,"合作ID未唯一匹配",IF(COUNTIFS($B$2:$B$301,B160,$C$2:$C$301,C160,$D$2:$D$301,D160,$E$2:$E$301,E160,$F$2:$F$301,F160)&gt;1,"窗口重复：应更新原行",IF(AND(AD160="是",COUNTIFS($B$2:$B$301,B160,$C$2:$C$301,C160,$D$2:$D$301,D160,$AD$2:$AD$301,"是")&gt;1),"重复汇总：同视频SKU仅选一行",IF(AND(AC160="已复盘",AD160="是",ISNUMBER(Y160),AE160&lt;&gt;""),"可汇总","观察中/未完成结算核对"))))))))</f>
        <v/>
      </c>
      <c r="AG160" s="9">
        <f>IF(C160="","",IF(OR(H160="",I160=""),"待补充",IF(COUNTIFS($C$2:$C$301,C160,$H$2:$H$301,H160,$I$2:$I$301,I160)&lt;&gt;COUNTIF($C$2:$C$301,C160),"请统一日期/负责人",IF(COUNTIF($C$2:C160,C160)=1,1,0))))</f>
        <v/>
      </c>
    </row>
    <row r="161" spans="25:33" ht="34" customHeight="1">
      <c r="Y161" s="10">
        <f>IF(A161="","",IF(COUNT(P161,R161:S161,U161:X161)&lt;7,"待补充",IF(MIN(P161,R161:S161,U161:X161)&lt;0,"检查输入",ROUND(P161-SUM(R161:S161)-SUM(U161:X161),4))))</f>
        <v/>
      </c>
      <c r="AF161" s="9">
        <f>IF(A161="","",IF(COUNTIF($A$2:$A$301,A161)&gt;1,"归因记录ID重复",IF(OR(B161="",C161="",D161="",H161="",COUNT(E161:G161)&lt;3,I161="",Z161=""),"待补归因/证据/日期",IF(F161&lt;E161,"窗口起止错误",IF(COUNTIF('达人线索与合作'!$B$2:$B$301,B161)&lt;&gt;1,"合作ID未唯一匹配",IF(COUNTIFS($B$2:$B$301,B161,$C$2:$C$301,C161,$D$2:$D$301,D161,$E$2:$E$301,E161,$F$2:$F$301,F161)&gt;1,"窗口重复：应更新原行",IF(AND(AD161="是",COUNTIFS($B$2:$B$301,B161,$C$2:$C$301,C161,$D$2:$D$301,D161,$AD$2:$AD$301,"是")&gt;1),"重复汇总：同视频SKU仅选一行",IF(AND(AC161="已复盘",AD161="是",ISNUMBER(Y161),AE161&lt;&gt;""),"可汇总","观察中/未完成结算核对"))))))))</f>
        <v/>
      </c>
      <c r="AG161" s="9">
        <f>IF(C161="","",IF(OR(H161="",I161=""),"待补充",IF(COUNTIFS($C$2:$C$301,C161,$H$2:$H$301,H161,$I$2:$I$301,I161)&lt;&gt;COUNTIF($C$2:$C$301,C161),"请统一日期/负责人",IF(COUNTIF($C$2:C161,C161)=1,1,0))))</f>
        <v/>
      </c>
    </row>
    <row r="162" spans="25:33" ht="34" customHeight="1">
      <c r="Y162" s="10">
        <f>IF(A162="","",IF(COUNT(P162,R162:S162,U162:X162)&lt;7,"待补充",IF(MIN(P162,R162:S162,U162:X162)&lt;0,"检查输入",ROUND(P162-SUM(R162:S162)-SUM(U162:X162),4))))</f>
        <v/>
      </c>
      <c r="AF162" s="9">
        <f>IF(A162="","",IF(COUNTIF($A$2:$A$301,A162)&gt;1,"归因记录ID重复",IF(OR(B162="",C162="",D162="",H162="",COUNT(E162:G162)&lt;3,I162="",Z162=""),"待补归因/证据/日期",IF(F162&lt;E162,"窗口起止错误",IF(COUNTIF('达人线索与合作'!$B$2:$B$301,B162)&lt;&gt;1,"合作ID未唯一匹配",IF(COUNTIFS($B$2:$B$301,B162,$C$2:$C$301,C162,$D$2:$D$301,D162,$E$2:$E$301,E162,$F$2:$F$301,F162)&gt;1,"窗口重复：应更新原行",IF(AND(AD162="是",COUNTIFS($B$2:$B$301,B162,$C$2:$C$301,C162,$D$2:$D$301,D162,$AD$2:$AD$301,"是")&gt;1),"重复汇总：同视频SKU仅选一行",IF(AND(AC162="已复盘",AD162="是",ISNUMBER(Y162),AE162&lt;&gt;""),"可汇总","观察中/未完成结算核对"))))))))</f>
        <v/>
      </c>
      <c r="AG162" s="9">
        <f>IF(C162="","",IF(OR(H162="",I162=""),"待补充",IF(COUNTIFS($C$2:$C$301,C162,$H$2:$H$301,H162,$I$2:$I$301,I162)&lt;&gt;COUNTIF($C$2:$C$301,C162),"请统一日期/负责人",IF(COUNTIF($C$2:C162,C162)=1,1,0))))</f>
        <v/>
      </c>
    </row>
    <row r="163" spans="25:33" ht="34" customHeight="1">
      <c r="Y163" s="10">
        <f>IF(A163="","",IF(COUNT(P163,R163:S163,U163:X163)&lt;7,"待补充",IF(MIN(P163,R163:S163,U163:X163)&lt;0,"检查输入",ROUND(P163-SUM(R163:S163)-SUM(U163:X163),4))))</f>
        <v/>
      </c>
      <c r="AF163" s="9">
        <f>IF(A163="","",IF(COUNTIF($A$2:$A$301,A163)&gt;1,"归因记录ID重复",IF(OR(B163="",C163="",D163="",H163="",COUNT(E163:G163)&lt;3,I163="",Z163=""),"待补归因/证据/日期",IF(F163&lt;E163,"窗口起止错误",IF(COUNTIF('达人线索与合作'!$B$2:$B$301,B163)&lt;&gt;1,"合作ID未唯一匹配",IF(COUNTIFS($B$2:$B$301,B163,$C$2:$C$301,C163,$D$2:$D$301,D163,$E$2:$E$301,E163,$F$2:$F$301,F163)&gt;1,"窗口重复：应更新原行",IF(AND(AD163="是",COUNTIFS($B$2:$B$301,B163,$C$2:$C$301,C163,$D$2:$D$301,D163,$AD$2:$AD$301,"是")&gt;1),"重复汇总：同视频SKU仅选一行",IF(AND(AC163="已复盘",AD163="是",ISNUMBER(Y163),AE163&lt;&gt;""),"可汇总","观察中/未完成结算核对"))))))))</f>
        <v/>
      </c>
      <c r="AG163" s="9">
        <f>IF(C163="","",IF(OR(H163="",I163=""),"待补充",IF(COUNTIFS($C$2:$C$301,C163,$H$2:$H$301,H163,$I$2:$I$301,I163)&lt;&gt;COUNTIF($C$2:$C$301,C163),"请统一日期/负责人",IF(COUNTIF($C$2:C163,C163)=1,1,0))))</f>
        <v/>
      </c>
    </row>
    <row r="164" spans="25:33" ht="34" customHeight="1">
      <c r="Y164" s="10">
        <f>IF(A164="","",IF(COUNT(P164,R164:S164,U164:X164)&lt;7,"待补充",IF(MIN(P164,R164:S164,U164:X164)&lt;0,"检查输入",ROUND(P164-SUM(R164:S164)-SUM(U164:X164),4))))</f>
        <v/>
      </c>
      <c r="AF164" s="9">
        <f>IF(A164="","",IF(COUNTIF($A$2:$A$301,A164)&gt;1,"归因记录ID重复",IF(OR(B164="",C164="",D164="",H164="",COUNT(E164:G164)&lt;3,I164="",Z164=""),"待补归因/证据/日期",IF(F164&lt;E164,"窗口起止错误",IF(COUNTIF('达人线索与合作'!$B$2:$B$301,B164)&lt;&gt;1,"合作ID未唯一匹配",IF(COUNTIFS($B$2:$B$301,B164,$C$2:$C$301,C164,$D$2:$D$301,D164,$E$2:$E$301,E164,$F$2:$F$301,F164)&gt;1,"窗口重复：应更新原行",IF(AND(AD164="是",COUNTIFS($B$2:$B$301,B164,$C$2:$C$301,C164,$D$2:$D$301,D164,$AD$2:$AD$301,"是")&gt;1),"重复汇总：同视频SKU仅选一行",IF(AND(AC164="已复盘",AD164="是",ISNUMBER(Y164),AE164&lt;&gt;""),"可汇总","观察中/未完成结算核对"))))))))</f>
        <v/>
      </c>
      <c r="AG164" s="9">
        <f>IF(C164="","",IF(OR(H164="",I164=""),"待补充",IF(COUNTIFS($C$2:$C$301,C164,$H$2:$H$301,H164,$I$2:$I$301,I164)&lt;&gt;COUNTIF($C$2:$C$301,C164),"请统一日期/负责人",IF(COUNTIF($C$2:C164,C164)=1,1,0))))</f>
        <v/>
      </c>
    </row>
    <row r="165" spans="25:33" ht="34" customHeight="1">
      <c r="Y165" s="10">
        <f>IF(A165="","",IF(COUNT(P165,R165:S165,U165:X165)&lt;7,"待补充",IF(MIN(P165,R165:S165,U165:X165)&lt;0,"检查输入",ROUND(P165-SUM(R165:S165)-SUM(U165:X165),4))))</f>
        <v/>
      </c>
      <c r="AF165" s="9">
        <f>IF(A165="","",IF(COUNTIF($A$2:$A$301,A165)&gt;1,"归因记录ID重复",IF(OR(B165="",C165="",D165="",H165="",COUNT(E165:G165)&lt;3,I165="",Z165=""),"待补归因/证据/日期",IF(F165&lt;E165,"窗口起止错误",IF(COUNTIF('达人线索与合作'!$B$2:$B$301,B165)&lt;&gt;1,"合作ID未唯一匹配",IF(COUNTIFS($B$2:$B$301,B165,$C$2:$C$301,C165,$D$2:$D$301,D165,$E$2:$E$301,E165,$F$2:$F$301,F165)&gt;1,"窗口重复：应更新原行",IF(AND(AD165="是",COUNTIFS($B$2:$B$301,B165,$C$2:$C$301,C165,$D$2:$D$301,D165,$AD$2:$AD$301,"是")&gt;1),"重复汇总：同视频SKU仅选一行",IF(AND(AC165="已复盘",AD165="是",ISNUMBER(Y165),AE165&lt;&gt;""),"可汇总","观察中/未完成结算核对"))))))))</f>
        <v/>
      </c>
      <c r="AG165" s="9">
        <f>IF(C165="","",IF(OR(H165="",I165=""),"待补充",IF(COUNTIFS($C$2:$C$301,C165,$H$2:$H$301,H165,$I$2:$I$301,I165)&lt;&gt;COUNTIF($C$2:$C$301,C165),"请统一日期/负责人",IF(COUNTIF($C$2:C165,C165)=1,1,0))))</f>
        <v/>
      </c>
    </row>
    <row r="166" spans="25:33" ht="34" customHeight="1">
      <c r="Y166" s="10">
        <f>IF(A166="","",IF(COUNT(P166,R166:S166,U166:X166)&lt;7,"待补充",IF(MIN(P166,R166:S166,U166:X166)&lt;0,"检查输入",ROUND(P166-SUM(R166:S166)-SUM(U166:X166),4))))</f>
        <v/>
      </c>
      <c r="AF166" s="9">
        <f>IF(A166="","",IF(COUNTIF($A$2:$A$301,A166)&gt;1,"归因记录ID重复",IF(OR(B166="",C166="",D166="",H166="",COUNT(E166:G166)&lt;3,I166="",Z166=""),"待补归因/证据/日期",IF(F166&lt;E166,"窗口起止错误",IF(COUNTIF('达人线索与合作'!$B$2:$B$301,B166)&lt;&gt;1,"合作ID未唯一匹配",IF(COUNTIFS($B$2:$B$301,B166,$C$2:$C$301,C166,$D$2:$D$301,D166,$E$2:$E$301,E166,$F$2:$F$301,F166)&gt;1,"窗口重复：应更新原行",IF(AND(AD166="是",COUNTIFS($B$2:$B$301,B166,$C$2:$C$301,C166,$D$2:$D$301,D166,$AD$2:$AD$301,"是")&gt;1),"重复汇总：同视频SKU仅选一行",IF(AND(AC166="已复盘",AD166="是",ISNUMBER(Y166),AE166&lt;&gt;""),"可汇总","观察中/未完成结算核对"))))))))</f>
        <v/>
      </c>
      <c r="AG166" s="9">
        <f>IF(C166="","",IF(OR(H166="",I166=""),"待补充",IF(COUNTIFS($C$2:$C$301,C166,$H$2:$H$301,H166,$I$2:$I$301,I166)&lt;&gt;COUNTIF($C$2:$C$301,C166),"请统一日期/负责人",IF(COUNTIF($C$2:C166,C166)=1,1,0))))</f>
        <v/>
      </c>
    </row>
    <row r="167" spans="25:33" ht="34" customHeight="1">
      <c r="Y167" s="10">
        <f>IF(A167="","",IF(COUNT(P167,R167:S167,U167:X167)&lt;7,"待补充",IF(MIN(P167,R167:S167,U167:X167)&lt;0,"检查输入",ROUND(P167-SUM(R167:S167)-SUM(U167:X167),4))))</f>
        <v/>
      </c>
      <c r="AF167" s="9">
        <f>IF(A167="","",IF(COUNTIF($A$2:$A$301,A167)&gt;1,"归因记录ID重复",IF(OR(B167="",C167="",D167="",H167="",COUNT(E167:G167)&lt;3,I167="",Z167=""),"待补归因/证据/日期",IF(F167&lt;E167,"窗口起止错误",IF(COUNTIF('达人线索与合作'!$B$2:$B$301,B167)&lt;&gt;1,"合作ID未唯一匹配",IF(COUNTIFS($B$2:$B$301,B167,$C$2:$C$301,C167,$D$2:$D$301,D167,$E$2:$E$301,E167,$F$2:$F$301,F167)&gt;1,"窗口重复：应更新原行",IF(AND(AD167="是",COUNTIFS($B$2:$B$301,B167,$C$2:$C$301,C167,$D$2:$D$301,D167,$AD$2:$AD$301,"是")&gt;1),"重复汇总：同视频SKU仅选一行",IF(AND(AC167="已复盘",AD167="是",ISNUMBER(Y167),AE167&lt;&gt;""),"可汇总","观察中/未完成结算核对"))))))))</f>
        <v/>
      </c>
      <c r="AG167" s="9">
        <f>IF(C167="","",IF(OR(H167="",I167=""),"待补充",IF(COUNTIFS($C$2:$C$301,C167,$H$2:$H$301,H167,$I$2:$I$301,I167)&lt;&gt;COUNTIF($C$2:$C$301,C167),"请统一日期/负责人",IF(COUNTIF($C$2:C167,C167)=1,1,0))))</f>
        <v/>
      </c>
    </row>
    <row r="168" spans="25:33" ht="34" customHeight="1">
      <c r="Y168" s="10">
        <f>IF(A168="","",IF(COUNT(P168,R168:S168,U168:X168)&lt;7,"待补充",IF(MIN(P168,R168:S168,U168:X168)&lt;0,"检查输入",ROUND(P168-SUM(R168:S168)-SUM(U168:X168),4))))</f>
        <v/>
      </c>
      <c r="AF168" s="9">
        <f>IF(A168="","",IF(COUNTIF($A$2:$A$301,A168)&gt;1,"归因记录ID重复",IF(OR(B168="",C168="",D168="",H168="",COUNT(E168:G168)&lt;3,I168="",Z168=""),"待补归因/证据/日期",IF(F168&lt;E168,"窗口起止错误",IF(COUNTIF('达人线索与合作'!$B$2:$B$301,B168)&lt;&gt;1,"合作ID未唯一匹配",IF(COUNTIFS($B$2:$B$301,B168,$C$2:$C$301,C168,$D$2:$D$301,D168,$E$2:$E$301,E168,$F$2:$F$301,F168)&gt;1,"窗口重复：应更新原行",IF(AND(AD168="是",COUNTIFS($B$2:$B$301,B168,$C$2:$C$301,C168,$D$2:$D$301,D168,$AD$2:$AD$301,"是")&gt;1),"重复汇总：同视频SKU仅选一行",IF(AND(AC168="已复盘",AD168="是",ISNUMBER(Y168),AE168&lt;&gt;""),"可汇总","观察中/未完成结算核对"))))))))</f>
        <v/>
      </c>
      <c r="AG168" s="9">
        <f>IF(C168="","",IF(OR(H168="",I168=""),"待补充",IF(COUNTIFS($C$2:$C$301,C168,$H$2:$H$301,H168,$I$2:$I$301,I168)&lt;&gt;COUNTIF($C$2:$C$301,C168),"请统一日期/负责人",IF(COUNTIF($C$2:C168,C168)=1,1,0))))</f>
        <v/>
      </c>
    </row>
    <row r="169" spans="25:33" ht="34" customHeight="1">
      <c r="Y169" s="10">
        <f>IF(A169="","",IF(COUNT(P169,R169:S169,U169:X169)&lt;7,"待补充",IF(MIN(P169,R169:S169,U169:X169)&lt;0,"检查输入",ROUND(P169-SUM(R169:S169)-SUM(U169:X169),4))))</f>
        <v/>
      </c>
      <c r="AF169" s="9">
        <f>IF(A169="","",IF(COUNTIF($A$2:$A$301,A169)&gt;1,"归因记录ID重复",IF(OR(B169="",C169="",D169="",H169="",COUNT(E169:G169)&lt;3,I169="",Z169=""),"待补归因/证据/日期",IF(F169&lt;E169,"窗口起止错误",IF(COUNTIF('达人线索与合作'!$B$2:$B$301,B169)&lt;&gt;1,"合作ID未唯一匹配",IF(COUNTIFS($B$2:$B$301,B169,$C$2:$C$301,C169,$D$2:$D$301,D169,$E$2:$E$301,E169,$F$2:$F$301,F169)&gt;1,"窗口重复：应更新原行",IF(AND(AD169="是",COUNTIFS($B$2:$B$301,B169,$C$2:$C$301,C169,$D$2:$D$301,D169,$AD$2:$AD$301,"是")&gt;1),"重复汇总：同视频SKU仅选一行",IF(AND(AC169="已复盘",AD169="是",ISNUMBER(Y169),AE169&lt;&gt;""),"可汇总","观察中/未完成结算核对"))))))))</f>
        <v/>
      </c>
      <c r="AG169" s="9">
        <f>IF(C169="","",IF(OR(H169="",I169=""),"待补充",IF(COUNTIFS($C$2:$C$301,C169,$H$2:$H$301,H169,$I$2:$I$301,I169)&lt;&gt;COUNTIF($C$2:$C$301,C169),"请统一日期/负责人",IF(COUNTIF($C$2:C169,C169)=1,1,0))))</f>
        <v/>
      </c>
    </row>
    <row r="170" spans="25:33" ht="34" customHeight="1">
      <c r="Y170" s="10">
        <f>IF(A170="","",IF(COUNT(P170,R170:S170,U170:X170)&lt;7,"待补充",IF(MIN(P170,R170:S170,U170:X170)&lt;0,"检查输入",ROUND(P170-SUM(R170:S170)-SUM(U170:X170),4))))</f>
        <v/>
      </c>
      <c r="AF170" s="9">
        <f>IF(A170="","",IF(COUNTIF($A$2:$A$301,A170)&gt;1,"归因记录ID重复",IF(OR(B170="",C170="",D170="",H170="",COUNT(E170:G170)&lt;3,I170="",Z170=""),"待补归因/证据/日期",IF(F170&lt;E170,"窗口起止错误",IF(COUNTIF('达人线索与合作'!$B$2:$B$301,B170)&lt;&gt;1,"合作ID未唯一匹配",IF(COUNTIFS($B$2:$B$301,B170,$C$2:$C$301,C170,$D$2:$D$301,D170,$E$2:$E$301,E170,$F$2:$F$301,F170)&gt;1,"窗口重复：应更新原行",IF(AND(AD170="是",COUNTIFS($B$2:$B$301,B170,$C$2:$C$301,C170,$D$2:$D$301,D170,$AD$2:$AD$301,"是")&gt;1),"重复汇总：同视频SKU仅选一行",IF(AND(AC170="已复盘",AD170="是",ISNUMBER(Y170),AE170&lt;&gt;""),"可汇总","观察中/未完成结算核对"))))))))</f>
        <v/>
      </c>
      <c r="AG170" s="9">
        <f>IF(C170="","",IF(OR(H170="",I170=""),"待补充",IF(COUNTIFS($C$2:$C$301,C170,$H$2:$H$301,H170,$I$2:$I$301,I170)&lt;&gt;COUNTIF($C$2:$C$301,C170),"请统一日期/负责人",IF(COUNTIF($C$2:C170,C170)=1,1,0))))</f>
        <v/>
      </c>
    </row>
    <row r="171" spans="25:33" ht="34" customHeight="1">
      <c r="Y171" s="10">
        <f>IF(A171="","",IF(COUNT(P171,R171:S171,U171:X171)&lt;7,"待补充",IF(MIN(P171,R171:S171,U171:X171)&lt;0,"检查输入",ROUND(P171-SUM(R171:S171)-SUM(U171:X171),4))))</f>
        <v/>
      </c>
      <c r="AF171" s="9">
        <f>IF(A171="","",IF(COUNTIF($A$2:$A$301,A171)&gt;1,"归因记录ID重复",IF(OR(B171="",C171="",D171="",H171="",COUNT(E171:G171)&lt;3,I171="",Z171=""),"待补归因/证据/日期",IF(F171&lt;E171,"窗口起止错误",IF(COUNTIF('达人线索与合作'!$B$2:$B$301,B171)&lt;&gt;1,"合作ID未唯一匹配",IF(COUNTIFS($B$2:$B$301,B171,$C$2:$C$301,C171,$D$2:$D$301,D171,$E$2:$E$301,E171,$F$2:$F$301,F171)&gt;1,"窗口重复：应更新原行",IF(AND(AD171="是",COUNTIFS($B$2:$B$301,B171,$C$2:$C$301,C171,$D$2:$D$301,D171,$AD$2:$AD$301,"是")&gt;1),"重复汇总：同视频SKU仅选一行",IF(AND(AC171="已复盘",AD171="是",ISNUMBER(Y171),AE171&lt;&gt;""),"可汇总","观察中/未完成结算核对"))))))))</f>
        <v/>
      </c>
      <c r="AG171" s="9">
        <f>IF(C171="","",IF(OR(H171="",I171=""),"待补充",IF(COUNTIFS($C$2:$C$301,C171,$H$2:$H$301,H171,$I$2:$I$301,I171)&lt;&gt;COUNTIF($C$2:$C$301,C171),"请统一日期/负责人",IF(COUNTIF($C$2:C171,C171)=1,1,0))))</f>
        <v/>
      </c>
    </row>
    <row r="172" spans="25:33" ht="34" customHeight="1">
      <c r="Y172" s="10">
        <f>IF(A172="","",IF(COUNT(P172,R172:S172,U172:X172)&lt;7,"待补充",IF(MIN(P172,R172:S172,U172:X172)&lt;0,"检查输入",ROUND(P172-SUM(R172:S172)-SUM(U172:X172),4))))</f>
        <v/>
      </c>
      <c r="AF172" s="9">
        <f>IF(A172="","",IF(COUNTIF($A$2:$A$301,A172)&gt;1,"归因记录ID重复",IF(OR(B172="",C172="",D172="",H172="",COUNT(E172:G172)&lt;3,I172="",Z172=""),"待补归因/证据/日期",IF(F172&lt;E172,"窗口起止错误",IF(COUNTIF('达人线索与合作'!$B$2:$B$301,B172)&lt;&gt;1,"合作ID未唯一匹配",IF(COUNTIFS($B$2:$B$301,B172,$C$2:$C$301,C172,$D$2:$D$301,D172,$E$2:$E$301,E172,$F$2:$F$301,F172)&gt;1,"窗口重复：应更新原行",IF(AND(AD172="是",COUNTIFS($B$2:$B$301,B172,$C$2:$C$301,C172,$D$2:$D$301,D172,$AD$2:$AD$301,"是")&gt;1),"重复汇总：同视频SKU仅选一行",IF(AND(AC172="已复盘",AD172="是",ISNUMBER(Y172),AE172&lt;&gt;""),"可汇总","观察中/未完成结算核对"))))))))</f>
        <v/>
      </c>
      <c r="AG172" s="9">
        <f>IF(C172="","",IF(OR(H172="",I172=""),"待补充",IF(COUNTIFS($C$2:$C$301,C172,$H$2:$H$301,H172,$I$2:$I$301,I172)&lt;&gt;COUNTIF($C$2:$C$301,C172),"请统一日期/负责人",IF(COUNTIF($C$2:C172,C172)=1,1,0))))</f>
        <v/>
      </c>
    </row>
    <row r="173" spans="25:33" ht="34" customHeight="1">
      <c r="Y173" s="10">
        <f>IF(A173="","",IF(COUNT(P173,R173:S173,U173:X173)&lt;7,"待补充",IF(MIN(P173,R173:S173,U173:X173)&lt;0,"检查输入",ROUND(P173-SUM(R173:S173)-SUM(U173:X173),4))))</f>
        <v/>
      </c>
      <c r="AF173" s="9">
        <f>IF(A173="","",IF(COUNTIF($A$2:$A$301,A173)&gt;1,"归因记录ID重复",IF(OR(B173="",C173="",D173="",H173="",COUNT(E173:G173)&lt;3,I173="",Z173=""),"待补归因/证据/日期",IF(F173&lt;E173,"窗口起止错误",IF(COUNTIF('达人线索与合作'!$B$2:$B$301,B173)&lt;&gt;1,"合作ID未唯一匹配",IF(COUNTIFS($B$2:$B$301,B173,$C$2:$C$301,C173,$D$2:$D$301,D173,$E$2:$E$301,E173,$F$2:$F$301,F173)&gt;1,"窗口重复：应更新原行",IF(AND(AD173="是",COUNTIFS($B$2:$B$301,B173,$C$2:$C$301,C173,$D$2:$D$301,D173,$AD$2:$AD$301,"是")&gt;1),"重复汇总：同视频SKU仅选一行",IF(AND(AC173="已复盘",AD173="是",ISNUMBER(Y173),AE173&lt;&gt;""),"可汇总","观察中/未完成结算核对"))))))))</f>
        <v/>
      </c>
      <c r="AG173" s="9">
        <f>IF(C173="","",IF(OR(H173="",I173=""),"待补充",IF(COUNTIFS($C$2:$C$301,C173,$H$2:$H$301,H173,$I$2:$I$301,I173)&lt;&gt;COUNTIF($C$2:$C$301,C173),"请统一日期/负责人",IF(COUNTIF($C$2:C173,C173)=1,1,0))))</f>
        <v/>
      </c>
    </row>
    <row r="174" spans="25:33" ht="34" customHeight="1">
      <c r="Y174" s="10">
        <f>IF(A174="","",IF(COUNT(P174,R174:S174,U174:X174)&lt;7,"待补充",IF(MIN(P174,R174:S174,U174:X174)&lt;0,"检查输入",ROUND(P174-SUM(R174:S174)-SUM(U174:X174),4))))</f>
        <v/>
      </c>
      <c r="AF174" s="9">
        <f>IF(A174="","",IF(COUNTIF($A$2:$A$301,A174)&gt;1,"归因记录ID重复",IF(OR(B174="",C174="",D174="",H174="",COUNT(E174:G174)&lt;3,I174="",Z174=""),"待补归因/证据/日期",IF(F174&lt;E174,"窗口起止错误",IF(COUNTIF('达人线索与合作'!$B$2:$B$301,B174)&lt;&gt;1,"合作ID未唯一匹配",IF(COUNTIFS($B$2:$B$301,B174,$C$2:$C$301,C174,$D$2:$D$301,D174,$E$2:$E$301,E174,$F$2:$F$301,F174)&gt;1,"窗口重复：应更新原行",IF(AND(AD174="是",COUNTIFS($B$2:$B$301,B174,$C$2:$C$301,C174,$D$2:$D$301,D174,$AD$2:$AD$301,"是")&gt;1),"重复汇总：同视频SKU仅选一行",IF(AND(AC174="已复盘",AD174="是",ISNUMBER(Y174),AE174&lt;&gt;""),"可汇总","观察中/未完成结算核对"))))))))</f>
        <v/>
      </c>
      <c r="AG174" s="9">
        <f>IF(C174="","",IF(OR(H174="",I174=""),"待补充",IF(COUNTIFS($C$2:$C$301,C174,$H$2:$H$301,H174,$I$2:$I$301,I174)&lt;&gt;COUNTIF($C$2:$C$301,C174),"请统一日期/负责人",IF(COUNTIF($C$2:C174,C174)=1,1,0))))</f>
        <v/>
      </c>
    </row>
    <row r="175" spans="25:33" ht="34" customHeight="1">
      <c r="Y175" s="10">
        <f>IF(A175="","",IF(COUNT(P175,R175:S175,U175:X175)&lt;7,"待补充",IF(MIN(P175,R175:S175,U175:X175)&lt;0,"检查输入",ROUND(P175-SUM(R175:S175)-SUM(U175:X175),4))))</f>
        <v/>
      </c>
      <c r="AF175" s="9">
        <f>IF(A175="","",IF(COUNTIF($A$2:$A$301,A175)&gt;1,"归因记录ID重复",IF(OR(B175="",C175="",D175="",H175="",COUNT(E175:G175)&lt;3,I175="",Z175=""),"待补归因/证据/日期",IF(F175&lt;E175,"窗口起止错误",IF(COUNTIF('达人线索与合作'!$B$2:$B$301,B175)&lt;&gt;1,"合作ID未唯一匹配",IF(COUNTIFS($B$2:$B$301,B175,$C$2:$C$301,C175,$D$2:$D$301,D175,$E$2:$E$301,E175,$F$2:$F$301,F175)&gt;1,"窗口重复：应更新原行",IF(AND(AD175="是",COUNTIFS($B$2:$B$301,B175,$C$2:$C$301,C175,$D$2:$D$301,D175,$AD$2:$AD$301,"是")&gt;1),"重复汇总：同视频SKU仅选一行",IF(AND(AC175="已复盘",AD175="是",ISNUMBER(Y175),AE175&lt;&gt;""),"可汇总","观察中/未完成结算核对"))))))))</f>
        <v/>
      </c>
      <c r="AG175" s="9">
        <f>IF(C175="","",IF(OR(H175="",I175=""),"待补充",IF(COUNTIFS($C$2:$C$301,C175,$H$2:$H$301,H175,$I$2:$I$301,I175)&lt;&gt;COUNTIF($C$2:$C$301,C175),"请统一日期/负责人",IF(COUNTIF($C$2:C175,C175)=1,1,0))))</f>
        <v/>
      </c>
    </row>
    <row r="176" spans="25:33" ht="34" customHeight="1">
      <c r="Y176" s="10">
        <f>IF(A176="","",IF(COUNT(P176,R176:S176,U176:X176)&lt;7,"待补充",IF(MIN(P176,R176:S176,U176:X176)&lt;0,"检查输入",ROUND(P176-SUM(R176:S176)-SUM(U176:X176),4))))</f>
        <v/>
      </c>
      <c r="AF176" s="9">
        <f>IF(A176="","",IF(COUNTIF($A$2:$A$301,A176)&gt;1,"归因记录ID重复",IF(OR(B176="",C176="",D176="",H176="",COUNT(E176:G176)&lt;3,I176="",Z176=""),"待补归因/证据/日期",IF(F176&lt;E176,"窗口起止错误",IF(COUNTIF('达人线索与合作'!$B$2:$B$301,B176)&lt;&gt;1,"合作ID未唯一匹配",IF(COUNTIFS($B$2:$B$301,B176,$C$2:$C$301,C176,$D$2:$D$301,D176,$E$2:$E$301,E176,$F$2:$F$301,F176)&gt;1,"窗口重复：应更新原行",IF(AND(AD176="是",COUNTIFS($B$2:$B$301,B176,$C$2:$C$301,C176,$D$2:$D$301,D176,$AD$2:$AD$301,"是")&gt;1),"重复汇总：同视频SKU仅选一行",IF(AND(AC176="已复盘",AD176="是",ISNUMBER(Y176),AE176&lt;&gt;""),"可汇总","观察中/未完成结算核对"))))))))</f>
        <v/>
      </c>
      <c r="AG176" s="9">
        <f>IF(C176="","",IF(OR(H176="",I176=""),"待补充",IF(COUNTIFS($C$2:$C$301,C176,$H$2:$H$301,H176,$I$2:$I$301,I176)&lt;&gt;COUNTIF($C$2:$C$301,C176),"请统一日期/负责人",IF(COUNTIF($C$2:C176,C176)=1,1,0))))</f>
        <v/>
      </c>
    </row>
    <row r="177" spans="25:33" ht="34" customHeight="1">
      <c r="Y177" s="10">
        <f>IF(A177="","",IF(COUNT(P177,R177:S177,U177:X177)&lt;7,"待补充",IF(MIN(P177,R177:S177,U177:X177)&lt;0,"检查输入",ROUND(P177-SUM(R177:S177)-SUM(U177:X177),4))))</f>
        <v/>
      </c>
      <c r="AF177" s="9">
        <f>IF(A177="","",IF(COUNTIF($A$2:$A$301,A177)&gt;1,"归因记录ID重复",IF(OR(B177="",C177="",D177="",H177="",COUNT(E177:G177)&lt;3,I177="",Z177=""),"待补归因/证据/日期",IF(F177&lt;E177,"窗口起止错误",IF(COUNTIF('达人线索与合作'!$B$2:$B$301,B177)&lt;&gt;1,"合作ID未唯一匹配",IF(COUNTIFS($B$2:$B$301,B177,$C$2:$C$301,C177,$D$2:$D$301,D177,$E$2:$E$301,E177,$F$2:$F$301,F177)&gt;1,"窗口重复：应更新原行",IF(AND(AD177="是",COUNTIFS($B$2:$B$301,B177,$C$2:$C$301,C177,$D$2:$D$301,D177,$AD$2:$AD$301,"是")&gt;1),"重复汇总：同视频SKU仅选一行",IF(AND(AC177="已复盘",AD177="是",ISNUMBER(Y177),AE177&lt;&gt;""),"可汇总","观察中/未完成结算核对"))))))))</f>
        <v/>
      </c>
      <c r="AG177" s="9">
        <f>IF(C177="","",IF(OR(H177="",I177=""),"待补充",IF(COUNTIFS($C$2:$C$301,C177,$H$2:$H$301,H177,$I$2:$I$301,I177)&lt;&gt;COUNTIF($C$2:$C$301,C177),"请统一日期/负责人",IF(COUNTIF($C$2:C177,C177)=1,1,0))))</f>
        <v/>
      </c>
    </row>
    <row r="178" spans="25:33" ht="34" customHeight="1">
      <c r="Y178" s="10">
        <f>IF(A178="","",IF(COUNT(P178,R178:S178,U178:X178)&lt;7,"待补充",IF(MIN(P178,R178:S178,U178:X178)&lt;0,"检查输入",ROUND(P178-SUM(R178:S178)-SUM(U178:X178),4))))</f>
        <v/>
      </c>
      <c r="AF178" s="9">
        <f>IF(A178="","",IF(COUNTIF($A$2:$A$301,A178)&gt;1,"归因记录ID重复",IF(OR(B178="",C178="",D178="",H178="",COUNT(E178:G178)&lt;3,I178="",Z178=""),"待补归因/证据/日期",IF(F178&lt;E178,"窗口起止错误",IF(COUNTIF('达人线索与合作'!$B$2:$B$301,B178)&lt;&gt;1,"合作ID未唯一匹配",IF(COUNTIFS($B$2:$B$301,B178,$C$2:$C$301,C178,$D$2:$D$301,D178,$E$2:$E$301,E178,$F$2:$F$301,F178)&gt;1,"窗口重复：应更新原行",IF(AND(AD178="是",COUNTIFS($B$2:$B$301,B178,$C$2:$C$301,C178,$D$2:$D$301,D178,$AD$2:$AD$301,"是")&gt;1),"重复汇总：同视频SKU仅选一行",IF(AND(AC178="已复盘",AD178="是",ISNUMBER(Y178),AE178&lt;&gt;""),"可汇总","观察中/未完成结算核对"))))))))</f>
        <v/>
      </c>
      <c r="AG178" s="9">
        <f>IF(C178="","",IF(OR(H178="",I178=""),"待补充",IF(COUNTIFS($C$2:$C$301,C178,$H$2:$H$301,H178,$I$2:$I$301,I178)&lt;&gt;COUNTIF($C$2:$C$301,C178),"请统一日期/负责人",IF(COUNTIF($C$2:C178,C178)=1,1,0))))</f>
        <v/>
      </c>
    </row>
    <row r="179" spans="25:33" ht="34" customHeight="1">
      <c r="Y179" s="10">
        <f>IF(A179="","",IF(COUNT(P179,R179:S179,U179:X179)&lt;7,"待补充",IF(MIN(P179,R179:S179,U179:X179)&lt;0,"检查输入",ROUND(P179-SUM(R179:S179)-SUM(U179:X179),4))))</f>
        <v/>
      </c>
      <c r="AF179" s="9">
        <f>IF(A179="","",IF(COUNTIF($A$2:$A$301,A179)&gt;1,"归因记录ID重复",IF(OR(B179="",C179="",D179="",H179="",COUNT(E179:G179)&lt;3,I179="",Z179=""),"待补归因/证据/日期",IF(F179&lt;E179,"窗口起止错误",IF(COUNTIF('达人线索与合作'!$B$2:$B$301,B179)&lt;&gt;1,"合作ID未唯一匹配",IF(COUNTIFS($B$2:$B$301,B179,$C$2:$C$301,C179,$D$2:$D$301,D179,$E$2:$E$301,E179,$F$2:$F$301,F179)&gt;1,"窗口重复：应更新原行",IF(AND(AD179="是",COUNTIFS($B$2:$B$301,B179,$C$2:$C$301,C179,$D$2:$D$301,D179,$AD$2:$AD$301,"是")&gt;1),"重复汇总：同视频SKU仅选一行",IF(AND(AC179="已复盘",AD179="是",ISNUMBER(Y179),AE179&lt;&gt;""),"可汇总","观察中/未完成结算核对"))))))))</f>
        <v/>
      </c>
      <c r="AG179" s="9">
        <f>IF(C179="","",IF(OR(H179="",I179=""),"待补充",IF(COUNTIFS($C$2:$C$301,C179,$H$2:$H$301,H179,$I$2:$I$301,I179)&lt;&gt;COUNTIF($C$2:$C$301,C179),"请统一日期/负责人",IF(COUNTIF($C$2:C179,C179)=1,1,0))))</f>
        <v/>
      </c>
    </row>
    <row r="180" spans="25:33" ht="34" customHeight="1">
      <c r="Y180" s="10">
        <f>IF(A180="","",IF(COUNT(P180,R180:S180,U180:X180)&lt;7,"待补充",IF(MIN(P180,R180:S180,U180:X180)&lt;0,"检查输入",ROUND(P180-SUM(R180:S180)-SUM(U180:X180),4))))</f>
        <v/>
      </c>
      <c r="AF180" s="9">
        <f>IF(A180="","",IF(COUNTIF($A$2:$A$301,A180)&gt;1,"归因记录ID重复",IF(OR(B180="",C180="",D180="",H180="",COUNT(E180:G180)&lt;3,I180="",Z180=""),"待补归因/证据/日期",IF(F180&lt;E180,"窗口起止错误",IF(COUNTIF('达人线索与合作'!$B$2:$B$301,B180)&lt;&gt;1,"合作ID未唯一匹配",IF(COUNTIFS($B$2:$B$301,B180,$C$2:$C$301,C180,$D$2:$D$301,D180,$E$2:$E$301,E180,$F$2:$F$301,F180)&gt;1,"窗口重复：应更新原行",IF(AND(AD180="是",COUNTIFS($B$2:$B$301,B180,$C$2:$C$301,C180,$D$2:$D$301,D180,$AD$2:$AD$301,"是")&gt;1),"重复汇总：同视频SKU仅选一行",IF(AND(AC180="已复盘",AD180="是",ISNUMBER(Y180),AE180&lt;&gt;""),"可汇总","观察中/未完成结算核对"))))))))</f>
        <v/>
      </c>
      <c r="AG180" s="9">
        <f>IF(C180="","",IF(OR(H180="",I180=""),"待补充",IF(COUNTIFS($C$2:$C$301,C180,$H$2:$H$301,H180,$I$2:$I$301,I180)&lt;&gt;COUNTIF($C$2:$C$301,C180),"请统一日期/负责人",IF(COUNTIF($C$2:C180,C180)=1,1,0))))</f>
        <v/>
      </c>
    </row>
    <row r="181" spans="25:33" ht="34" customHeight="1">
      <c r="Y181" s="10">
        <f>IF(A181="","",IF(COUNT(P181,R181:S181,U181:X181)&lt;7,"待补充",IF(MIN(P181,R181:S181,U181:X181)&lt;0,"检查输入",ROUND(P181-SUM(R181:S181)-SUM(U181:X181),4))))</f>
        <v/>
      </c>
      <c r="AF181" s="9">
        <f>IF(A181="","",IF(COUNTIF($A$2:$A$301,A181)&gt;1,"归因记录ID重复",IF(OR(B181="",C181="",D181="",H181="",COUNT(E181:G181)&lt;3,I181="",Z181=""),"待补归因/证据/日期",IF(F181&lt;E181,"窗口起止错误",IF(COUNTIF('达人线索与合作'!$B$2:$B$301,B181)&lt;&gt;1,"合作ID未唯一匹配",IF(COUNTIFS($B$2:$B$301,B181,$C$2:$C$301,C181,$D$2:$D$301,D181,$E$2:$E$301,E181,$F$2:$F$301,F181)&gt;1,"窗口重复：应更新原行",IF(AND(AD181="是",COUNTIFS($B$2:$B$301,B181,$C$2:$C$301,C181,$D$2:$D$301,D181,$AD$2:$AD$301,"是")&gt;1),"重复汇总：同视频SKU仅选一行",IF(AND(AC181="已复盘",AD181="是",ISNUMBER(Y181),AE181&lt;&gt;""),"可汇总","观察中/未完成结算核对"))))))))</f>
        <v/>
      </c>
      <c r="AG181" s="9">
        <f>IF(C181="","",IF(OR(H181="",I181=""),"待补充",IF(COUNTIFS($C$2:$C$301,C181,$H$2:$H$301,H181,$I$2:$I$301,I181)&lt;&gt;COUNTIF($C$2:$C$301,C181),"请统一日期/负责人",IF(COUNTIF($C$2:C181,C181)=1,1,0))))</f>
        <v/>
      </c>
    </row>
    <row r="182" spans="25:33" ht="34" customHeight="1">
      <c r="Y182" s="10">
        <f>IF(A182="","",IF(COUNT(P182,R182:S182,U182:X182)&lt;7,"待补充",IF(MIN(P182,R182:S182,U182:X182)&lt;0,"检查输入",ROUND(P182-SUM(R182:S182)-SUM(U182:X182),4))))</f>
        <v/>
      </c>
      <c r="AF182" s="9">
        <f>IF(A182="","",IF(COUNTIF($A$2:$A$301,A182)&gt;1,"归因记录ID重复",IF(OR(B182="",C182="",D182="",H182="",COUNT(E182:G182)&lt;3,I182="",Z182=""),"待补归因/证据/日期",IF(F182&lt;E182,"窗口起止错误",IF(COUNTIF('达人线索与合作'!$B$2:$B$301,B182)&lt;&gt;1,"合作ID未唯一匹配",IF(COUNTIFS($B$2:$B$301,B182,$C$2:$C$301,C182,$D$2:$D$301,D182,$E$2:$E$301,E182,$F$2:$F$301,F182)&gt;1,"窗口重复：应更新原行",IF(AND(AD182="是",COUNTIFS($B$2:$B$301,B182,$C$2:$C$301,C182,$D$2:$D$301,D182,$AD$2:$AD$301,"是")&gt;1),"重复汇总：同视频SKU仅选一行",IF(AND(AC182="已复盘",AD182="是",ISNUMBER(Y182),AE182&lt;&gt;""),"可汇总","观察中/未完成结算核对"))))))))</f>
        <v/>
      </c>
      <c r="AG182" s="9">
        <f>IF(C182="","",IF(OR(H182="",I182=""),"待补充",IF(COUNTIFS($C$2:$C$301,C182,$H$2:$H$301,H182,$I$2:$I$301,I182)&lt;&gt;COUNTIF($C$2:$C$301,C182),"请统一日期/负责人",IF(COUNTIF($C$2:C182,C182)=1,1,0))))</f>
        <v/>
      </c>
    </row>
    <row r="183" spans="25:33" ht="34" customHeight="1">
      <c r="Y183" s="10">
        <f>IF(A183="","",IF(COUNT(P183,R183:S183,U183:X183)&lt;7,"待补充",IF(MIN(P183,R183:S183,U183:X183)&lt;0,"检查输入",ROUND(P183-SUM(R183:S183)-SUM(U183:X183),4))))</f>
        <v/>
      </c>
      <c r="AF183" s="9">
        <f>IF(A183="","",IF(COUNTIF($A$2:$A$301,A183)&gt;1,"归因记录ID重复",IF(OR(B183="",C183="",D183="",H183="",COUNT(E183:G183)&lt;3,I183="",Z183=""),"待补归因/证据/日期",IF(F183&lt;E183,"窗口起止错误",IF(COUNTIF('达人线索与合作'!$B$2:$B$301,B183)&lt;&gt;1,"合作ID未唯一匹配",IF(COUNTIFS($B$2:$B$301,B183,$C$2:$C$301,C183,$D$2:$D$301,D183,$E$2:$E$301,E183,$F$2:$F$301,F183)&gt;1,"窗口重复：应更新原行",IF(AND(AD183="是",COUNTIFS($B$2:$B$301,B183,$C$2:$C$301,C183,$D$2:$D$301,D183,$AD$2:$AD$301,"是")&gt;1),"重复汇总：同视频SKU仅选一行",IF(AND(AC183="已复盘",AD183="是",ISNUMBER(Y183),AE183&lt;&gt;""),"可汇总","观察中/未完成结算核对"))))))))</f>
        <v/>
      </c>
      <c r="AG183" s="9">
        <f>IF(C183="","",IF(OR(H183="",I183=""),"待补充",IF(COUNTIFS($C$2:$C$301,C183,$H$2:$H$301,H183,$I$2:$I$301,I183)&lt;&gt;COUNTIF($C$2:$C$301,C183),"请统一日期/负责人",IF(COUNTIF($C$2:C183,C183)=1,1,0))))</f>
        <v/>
      </c>
    </row>
    <row r="184" spans="25:33" ht="34" customHeight="1">
      <c r="Y184" s="10">
        <f>IF(A184="","",IF(COUNT(P184,R184:S184,U184:X184)&lt;7,"待补充",IF(MIN(P184,R184:S184,U184:X184)&lt;0,"检查输入",ROUND(P184-SUM(R184:S184)-SUM(U184:X184),4))))</f>
        <v/>
      </c>
      <c r="AF184" s="9">
        <f>IF(A184="","",IF(COUNTIF($A$2:$A$301,A184)&gt;1,"归因记录ID重复",IF(OR(B184="",C184="",D184="",H184="",COUNT(E184:G184)&lt;3,I184="",Z184=""),"待补归因/证据/日期",IF(F184&lt;E184,"窗口起止错误",IF(COUNTIF('达人线索与合作'!$B$2:$B$301,B184)&lt;&gt;1,"合作ID未唯一匹配",IF(COUNTIFS($B$2:$B$301,B184,$C$2:$C$301,C184,$D$2:$D$301,D184,$E$2:$E$301,E184,$F$2:$F$301,F184)&gt;1,"窗口重复：应更新原行",IF(AND(AD184="是",COUNTIFS($B$2:$B$301,B184,$C$2:$C$301,C184,$D$2:$D$301,D184,$AD$2:$AD$301,"是")&gt;1),"重复汇总：同视频SKU仅选一行",IF(AND(AC184="已复盘",AD184="是",ISNUMBER(Y184),AE184&lt;&gt;""),"可汇总","观察中/未完成结算核对"))))))))</f>
        <v/>
      </c>
      <c r="AG184" s="9">
        <f>IF(C184="","",IF(OR(H184="",I184=""),"待补充",IF(COUNTIFS($C$2:$C$301,C184,$H$2:$H$301,H184,$I$2:$I$301,I184)&lt;&gt;COUNTIF($C$2:$C$301,C184),"请统一日期/负责人",IF(COUNTIF($C$2:C184,C184)=1,1,0))))</f>
        <v/>
      </c>
    </row>
    <row r="185" spans="25:33" ht="34" customHeight="1">
      <c r="Y185" s="10">
        <f>IF(A185="","",IF(COUNT(P185,R185:S185,U185:X185)&lt;7,"待补充",IF(MIN(P185,R185:S185,U185:X185)&lt;0,"检查输入",ROUND(P185-SUM(R185:S185)-SUM(U185:X185),4))))</f>
        <v/>
      </c>
      <c r="AF185" s="9">
        <f>IF(A185="","",IF(COUNTIF($A$2:$A$301,A185)&gt;1,"归因记录ID重复",IF(OR(B185="",C185="",D185="",H185="",COUNT(E185:G185)&lt;3,I185="",Z185=""),"待补归因/证据/日期",IF(F185&lt;E185,"窗口起止错误",IF(COUNTIF('达人线索与合作'!$B$2:$B$301,B185)&lt;&gt;1,"合作ID未唯一匹配",IF(COUNTIFS($B$2:$B$301,B185,$C$2:$C$301,C185,$D$2:$D$301,D185,$E$2:$E$301,E185,$F$2:$F$301,F185)&gt;1,"窗口重复：应更新原行",IF(AND(AD185="是",COUNTIFS($B$2:$B$301,B185,$C$2:$C$301,C185,$D$2:$D$301,D185,$AD$2:$AD$301,"是")&gt;1),"重复汇总：同视频SKU仅选一行",IF(AND(AC185="已复盘",AD185="是",ISNUMBER(Y185),AE185&lt;&gt;""),"可汇总","观察中/未完成结算核对"))))))))</f>
        <v/>
      </c>
      <c r="AG185" s="9">
        <f>IF(C185="","",IF(OR(H185="",I185=""),"待补充",IF(COUNTIFS($C$2:$C$301,C185,$H$2:$H$301,H185,$I$2:$I$301,I185)&lt;&gt;COUNTIF($C$2:$C$301,C185),"请统一日期/负责人",IF(COUNTIF($C$2:C185,C185)=1,1,0))))</f>
        <v/>
      </c>
    </row>
    <row r="186" spans="25:33" ht="34" customHeight="1">
      <c r="Y186" s="10">
        <f>IF(A186="","",IF(COUNT(P186,R186:S186,U186:X186)&lt;7,"待补充",IF(MIN(P186,R186:S186,U186:X186)&lt;0,"检查输入",ROUND(P186-SUM(R186:S186)-SUM(U186:X186),4))))</f>
        <v/>
      </c>
      <c r="AF186" s="9">
        <f>IF(A186="","",IF(COUNTIF($A$2:$A$301,A186)&gt;1,"归因记录ID重复",IF(OR(B186="",C186="",D186="",H186="",COUNT(E186:G186)&lt;3,I186="",Z186=""),"待补归因/证据/日期",IF(F186&lt;E186,"窗口起止错误",IF(COUNTIF('达人线索与合作'!$B$2:$B$301,B186)&lt;&gt;1,"合作ID未唯一匹配",IF(COUNTIFS($B$2:$B$301,B186,$C$2:$C$301,C186,$D$2:$D$301,D186,$E$2:$E$301,E186,$F$2:$F$301,F186)&gt;1,"窗口重复：应更新原行",IF(AND(AD186="是",COUNTIFS($B$2:$B$301,B186,$C$2:$C$301,C186,$D$2:$D$301,D186,$AD$2:$AD$301,"是")&gt;1),"重复汇总：同视频SKU仅选一行",IF(AND(AC186="已复盘",AD186="是",ISNUMBER(Y186),AE186&lt;&gt;""),"可汇总","观察中/未完成结算核对"))))))))</f>
        <v/>
      </c>
      <c r="AG186" s="9">
        <f>IF(C186="","",IF(OR(H186="",I186=""),"待补充",IF(COUNTIFS($C$2:$C$301,C186,$H$2:$H$301,H186,$I$2:$I$301,I186)&lt;&gt;COUNTIF($C$2:$C$301,C186),"请统一日期/负责人",IF(COUNTIF($C$2:C186,C186)=1,1,0))))</f>
        <v/>
      </c>
    </row>
    <row r="187" spans="25:33" ht="34" customHeight="1">
      <c r="Y187" s="10">
        <f>IF(A187="","",IF(COUNT(P187,R187:S187,U187:X187)&lt;7,"待补充",IF(MIN(P187,R187:S187,U187:X187)&lt;0,"检查输入",ROUND(P187-SUM(R187:S187)-SUM(U187:X187),4))))</f>
        <v/>
      </c>
      <c r="AF187" s="9">
        <f>IF(A187="","",IF(COUNTIF($A$2:$A$301,A187)&gt;1,"归因记录ID重复",IF(OR(B187="",C187="",D187="",H187="",COUNT(E187:G187)&lt;3,I187="",Z187=""),"待补归因/证据/日期",IF(F187&lt;E187,"窗口起止错误",IF(COUNTIF('达人线索与合作'!$B$2:$B$301,B187)&lt;&gt;1,"合作ID未唯一匹配",IF(COUNTIFS($B$2:$B$301,B187,$C$2:$C$301,C187,$D$2:$D$301,D187,$E$2:$E$301,E187,$F$2:$F$301,F187)&gt;1,"窗口重复：应更新原行",IF(AND(AD187="是",COUNTIFS($B$2:$B$301,B187,$C$2:$C$301,C187,$D$2:$D$301,D187,$AD$2:$AD$301,"是")&gt;1),"重复汇总：同视频SKU仅选一行",IF(AND(AC187="已复盘",AD187="是",ISNUMBER(Y187),AE187&lt;&gt;""),"可汇总","观察中/未完成结算核对"))))))))</f>
        <v/>
      </c>
      <c r="AG187" s="9">
        <f>IF(C187="","",IF(OR(H187="",I187=""),"待补充",IF(COUNTIFS($C$2:$C$301,C187,$H$2:$H$301,H187,$I$2:$I$301,I187)&lt;&gt;COUNTIF($C$2:$C$301,C187),"请统一日期/负责人",IF(COUNTIF($C$2:C187,C187)=1,1,0))))</f>
        <v/>
      </c>
    </row>
    <row r="188" spans="25:33" ht="34" customHeight="1">
      <c r="Y188" s="10">
        <f>IF(A188="","",IF(COUNT(P188,R188:S188,U188:X188)&lt;7,"待补充",IF(MIN(P188,R188:S188,U188:X188)&lt;0,"检查输入",ROUND(P188-SUM(R188:S188)-SUM(U188:X188),4))))</f>
        <v/>
      </c>
      <c r="AF188" s="9">
        <f>IF(A188="","",IF(COUNTIF($A$2:$A$301,A188)&gt;1,"归因记录ID重复",IF(OR(B188="",C188="",D188="",H188="",COUNT(E188:G188)&lt;3,I188="",Z188=""),"待补归因/证据/日期",IF(F188&lt;E188,"窗口起止错误",IF(COUNTIF('达人线索与合作'!$B$2:$B$301,B188)&lt;&gt;1,"合作ID未唯一匹配",IF(COUNTIFS($B$2:$B$301,B188,$C$2:$C$301,C188,$D$2:$D$301,D188,$E$2:$E$301,E188,$F$2:$F$301,F188)&gt;1,"窗口重复：应更新原行",IF(AND(AD188="是",COUNTIFS($B$2:$B$301,B188,$C$2:$C$301,C188,$D$2:$D$301,D188,$AD$2:$AD$301,"是")&gt;1),"重复汇总：同视频SKU仅选一行",IF(AND(AC188="已复盘",AD188="是",ISNUMBER(Y188),AE188&lt;&gt;""),"可汇总","观察中/未完成结算核对"))))))))</f>
        <v/>
      </c>
      <c r="AG188" s="9">
        <f>IF(C188="","",IF(OR(H188="",I188=""),"待补充",IF(COUNTIFS($C$2:$C$301,C188,$H$2:$H$301,H188,$I$2:$I$301,I188)&lt;&gt;COUNTIF($C$2:$C$301,C188),"请统一日期/负责人",IF(COUNTIF($C$2:C188,C188)=1,1,0))))</f>
        <v/>
      </c>
    </row>
    <row r="189" spans="25:33" ht="34" customHeight="1">
      <c r="Y189" s="10">
        <f>IF(A189="","",IF(COUNT(P189,R189:S189,U189:X189)&lt;7,"待补充",IF(MIN(P189,R189:S189,U189:X189)&lt;0,"检查输入",ROUND(P189-SUM(R189:S189)-SUM(U189:X189),4))))</f>
        <v/>
      </c>
      <c r="AF189" s="9">
        <f>IF(A189="","",IF(COUNTIF($A$2:$A$301,A189)&gt;1,"归因记录ID重复",IF(OR(B189="",C189="",D189="",H189="",COUNT(E189:G189)&lt;3,I189="",Z189=""),"待补归因/证据/日期",IF(F189&lt;E189,"窗口起止错误",IF(COUNTIF('达人线索与合作'!$B$2:$B$301,B189)&lt;&gt;1,"合作ID未唯一匹配",IF(COUNTIFS($B$2:$B$301,B189,$C$2:$C$301,C189,$D$2:$D$301,D189,$E$2:$E$301,E189,$F$2:$F$301,F189)&gt;1,"窗口重复：应更新原行",IF(AND(AD189="是",COUNTIFS($B$2:$B$301,B189,$C$2:$C$301,C189,$D$2:$D$301,D189,$AD$2:$AD$301,"是")&gt;1),"重复汇总：同视频SKU仅选一行",IF(AND(AC189="已复盘",AD189="是",ISNUMBER(Y189),AE189&lt;&gt;""),"可汇总","观察中/未完成结算核对"))))))))</f>
        <v/>
      </c>
      <c r="AG189" s="9">
        <f>IF(C189="","",IF(OR(H189="",I189=""),"待补充",IF(COUNTIFS($C$2:$C$301,C189,$H$2:$H$301,H189,$I$2:$I$301,I189)&lt;&gt;COUNTIF($C$2:$C$301,C189),"请统一日期/负责人",IF(COUNTIF($C$2:C189,C189)=1,1,0))))</f>
        <v/>
      </c>
    </row>
    <row r="190" spans="25:33" ht="34" customHeight="1">
      <c r="Y190" s="10">
        <f>IF(A190="","",IF(COUNT(P190,R190:S190,U190:X190)&lt;7,"待补充",IF(MIN(P190,R190:S190,U190:X190)&lt;0,"检查输入",ROUND(P190-SUM(R190:S190)-SUM(U190:X190),4))))</f>
        <v/>
      </c>
      <c r="AF190" s="9">
        <f>IF(A190="","",IF(COUNTIF($A$2:$A$301,A190)&gt;1,"归因记录ID重复",IF(OR(B190="",C190="",D190="",H190="",COUNT(E190:G190)&lt;3,I190="",Z190=""),"待补归因/证据/日期",IF(F190&lt;E190,"窗口起止错误",IF(COUNTIF('达人线索与合作'!$B$2:$B$301,B190)&lt;&gt;1,"合作ID未唯一匹配",IF(COUNTIFS($B$2:$B$301,B190,$C$2:$C$301,C190,$D$2:$D$301,D190,$E$2:$E$301,E190,$F$2:$F$301,F190)&gt;1,"窗口重复：应更新原行",IF(AND(AD190="是",COUNTIFS($B$2:$B$301,B190,$C$2:$C$301,C190,$D$2:$D$301,D190,$AD$2:$AD$301,"是")&gt;1),"重复汇总：同视频SKU仅选一行",IF(AND(AC190="已复盘",AD190="是",ISNUMBER(Y190),AE190&lt;&gt;""),"可汇总","观察中/未完成结算核对"))))))))</f>
        <v/>
      </c>
      <c r="AG190" s="9">
        <f>IF(C190="","",IF(OR(H190="",I190=""),"待补充",IF(COUNTIFS($C$2:$C$301,C190,$H$2:$H$301,H190,$I$2:$I$301,I190)&lt;&gt;COUNTIF($C$2:$C$301,C190),"请统一日期/负责人",IF(COUNTIF($C$2:C190,C190)=1,1,0))))</f>
        <v/>
      </c>
    </row>
    <row r="191" spans="25:33" ht="34" customHeight="1">
      <c r="Y191" s="10">
        <f>IF(A191="","",IF(COUNT(P191,R191:S191,U191:X191)&lt;7,"待补充",IF(MIN(P191,R191:S191,U191:X191)&lt;0,"检查输入",ROUND(P191-SUM(R191:S191)-SUM(U191:X191),4))))</f>
        <v/>
      </c>
      <c r="AF191" s="9">
        <f>IF(A191="","",IF(COUNTIF($A$2:$A$301,A191)&gt;1,"归因记录ID重复",IF(OR(B191="",C191="",D191="",H191="",COUNT(E191:G191)&lt;3,I191="",Z191=""),"待补归因/证据/日期",IF(F191&lt;E191,"窗口起止错误",IF(COUNTIF('达人线索与合作'!$B$2:$B$301,B191)&lt;&gt;1,"合作ID未唯一匹配",IF(COUNTIFS($B$2:$B$301,B191,$C$2:$C$301,C191,$D$2:$D$301,D191,$E$2:$E$301,E191,$F$2:$F$301,F191)&gt;1,"窗口重复：应更新原行",IF(AND(AD191="是",COUNTIFS($B$2:$B$301,B191,$C$2:$C$301,C191,$D$2:$D$301,D191,$AD$2:$AD$301,"是")&gt;1),"重复汇总：同视频SKU仅选一行",IF(AND(AC191="已复盘",AD191="是",ISNUMBER(Y191),AE191&lt;&gt;""),"可汇总","观察中/未完成结算核对"))))))))</f>
        <v/>
      </c>
      <c r="AG191" s="9">
        <f>IF(C191="","",IF(OR(H191="",I191=""),"待补充",IF(COUNTIFS($C$2:$C$301,C191,$H$2:$H$301,H191,$I$2:$I$301,I191)&lt;&gt;COUNTIF($C$2:$C$301,C191),"请统一日期/负责人",IF(COUNTIF($C$2:C191,C191)=1,1,0))))</f>
        <v/>
      </c>
    </row>
    <row r="192" spans="25:33" ht="34" customHeight="1">
      <c r="Y192" s="10">
        <f>IF(A192="","",IF(COUNT(P192,R192:S192,U192:X192)&lt;7,"待补充",IF(MIN(P192,R192:S192,U192:X192)&lt;0,"检查输入",ROUND(P192-SUM(R192:S192)-SUM(U192:X192),4))))</f>
        <v/>
      </c>
      <c r="AF192" s="9">
        <f>IF(A192="","",IF(COUNTIF($A$2:$A$301,A192)&gt;1,"归因记录ID重复",IF(OR(B192="",C192="",D192="",H192="",COUNT(E192:G192)&lt;3,I192="",Z192=""),"待补归因/证据/日期",IF(F192&lt;E192,"窗口起止错误",IF(COUNTIF('达人线索与合作'!$B$2:$B$301,B192)&lt;&gt;1,"合作ID未唯一匹配",IF(COUNTIFS($B$2:$B$301,B192,$C$2:$C$301,C192,$D$2:$D$301,D192,$E$2:$E$301,E192,$F$2:$F$301,F192)&gt;1,"窗口重复：应更新原行",IF(AND(AD192="是",COUNTIFS($B$2:$B$301,B192,$C$2:$C$301,C192,$D$2:$D$301,D192,$AD$2:$AD$301,"是")&gt;1),"重复汇总：同视频SKU仅选一行",IF(AND(AC192="已复盘",AD192="是",ISNUMBER(Y192),AE192&lt;&gt;""),"可汇总","观察中/未完成结算核对"))))))))</f>
        <v/>
      </c>
      <c r="AG192" s="9">
        <f>IF(C192="","",IF(OR(H192="",I192=""),"待补充",IF(COUNTIFS($C$2:$C$301,C192,$H$2:$H$301,H192,$I$2:$I$301,I192)&lt;&gt;COUNTIF($C$2:$C$301,C192),"请统一日期/负责人",IF(COUNTIF($C$2:C192,C192)=1,1,0))))</f>
        <v/>
      </c>
    </row>
    <row r="193" spans="25:33" ht="34" customHeight="1">
      <c r="Y193" s="10">
        <f>IF(A193="","",IF(COUNT(P193,R193:S193,U193:X193)&lt;7,"待补充",IF(MIN(P193,R193:S193,U193:X193)&lt;0,"检查输入",ROUND(P193-SUM(R193:S193)-SUM(U193:X193),4))))</f>
        <v/>
      </c>
      <c r="AF193" s="9">
        <f>IF(A193="","",IF(COUNTIF($A$2:$A$301,A193)&gt;1,"归因记录ID重复",IF(OR(B193="",C193="",D193="",H193="",COUNT(E193:G193)&lt;3,I193="",Z193=""),"待补归因/证据/日期",IF(F193&lt;E193,"窗口起止错误",IF(COUNTIF('达人线索与合作'!$B$2:$B$301,B193)&lt;&gt;1,"合作ID未唯一匹配",IF(COUNTIFS($B$2:$B$301,B193,$C$2:$C$301,C193,$D$2:$D$301,D193,$E$2:$E$301,E193,$F$2:$F$301,F193)&gt;1,"窗口重复：应更新原行",IF(AND(AD193="是",COUNTIFS($B$2:$B$301,B193,$C$2:$C$301,C193,$D$2:$D$301,D193,$AD$2:$AD$301,"是")&gt;1),"重复汇总：同视频SKU仅选一行",IF(AND(AC193="已复盘",AD193="是",ISNUMBER(Y193),AE193&lt;&gt;""),"可汇总","观察中/未完成结算核对"))))))))</f>
        <v/>
      </c>
      <c r="AG193" s="9">
        <f>IF(C193="","",IF(OR(H193="",I193=""),"待补充",IF(COUNTIFS($C$2:$C$301,C193,$H$2:$H$301,H193,$I$2:$I$301,I193)&lt;&gt;COUNTIF($C$2:$C$301,C193),"请统一日期/负责人",IF(COUNTIF($C$2:C193,C193)=1,1,0))))</f>
        <v/>
      </c>
    </row>
    <row r="194" spans="25:33" ht="34" customHeight="1">
      <c r="Y194" s="10">
        <f>IF(A194="","",IF(COUNT(P194,R194:S194,U194:X194)&lt;7,"待补充",IF(MIN(P194,R194:S194,U194:X194)&lt;0,"检查输入",ROUND(P194-SUM(R194:S194)-SUM(U194:X194),4))))</f>
        <v/>
      </c>
      <c r="AF194" s="9">
        <f>IF(A194="","",IF(COUNTIF($A$2:$A$301,A194)&gt;1,"归因记录ID重复",IF(OR(B194="",C194="",D194="",H194="",COUNT(E194:G194)&lt;3,I194="",Z194=""),"待补归因/证据/日期",IF(F194&lt;E194,"窗口起止错误",IF(COUNTIF('达人线索与合作'!$B$2:$B$301,B194)&lt;&gt;1,"合作ID未唯一匹配",IF(COUNTIFS($B$2:$B$301,B194,$C$2:$C$301,C194,$D$2:$D$301,D194,$E$2:$E$301,E194,$F$2:$F$301,F194)&gt;1,"窗口重复：应更新原行",IF(AND(AD194="是",COUNTIFS($B$2:$B$301,B194,$C$2:$C$301,C194,$D$2:$D$301,D194,$AD$2:$AD$301,"是")&gt;1),"重复汇总：同视频SKU仅选一行",IF(AND(AC194="已复盘",AD194="是",ISNUMBER(Y194),AE194&lt;&gt;""),"可汇总","观察中/未完成结算核对"))))))))</f>
        <v/>
      </c>
      <c r="AG194" s="9">
        <f>IF(C194="","",IF(OR(H194="",I194=""),"待补充",IF(COUNTIFS($C$2:$C$301,C194,$H$2:$H$301,H194,$I$2:$I$301,I194)&lt;&gt;COUNTIF($C$2:$C$301,C194),"请统一日期/负责人",IF(COUNTIF($C$2:C194,C194)=1,1,0))))</f>
        <v/>
      </c>
    </row>
    <row r="195" spans="25:33" ht="34" customHeight="1">
      <c r="Y195" s="10">
        <f>IF(A195="","",IF(COUNT(P195,R195:S195,U195:X195)&lt;7,"待补充",IF(MIN(P195,R195:S195,U195:X195)&lt;0,"检查输入",ROUND(P195-SUM(R195:S195)-SUM(U195:X195),4))))</f>
        <v/>
      </c>
      <c r="AF195" s="9">
        <f>IF(A195="","",IF(COUNTIF($A$2:$A$301,A195)&gt;1,"归因记录ID重复",IF(OR(B195="",C195="",D195="",H195="",COUNT(E195:G195)&lt;3,I195="",Z195=""),"待补归因/证据/日期",IF(F195&lt;E195,"窗口起止错误",IF(COUNTIF('达人线索与合作'!$B$2:$B$301,B195)&lt;&gt;1,"合作ID未唯一匹配",IF(COUNTIFS($B$2:$B$301,B195,$C$2:$C$301,C195,$D$2:$D$301,D195,$E$2:$E$301,E195,$F$2:$F$301,F195)&gt;1,"窗口重复：应更新原行",IF(AND(AD195="是",COUNTIFS($B$2:$B$301,B195,$C$2:$C$301,C195,$D$2:$D$301,D195,$AD$2:$AD$301,"是")&gt;1),"重复汇总：同视频SKU仅选一行",IF(AND(AC195="已复盘",AD195="是",ISNUMBER(Y195),AE195&lt;&gt;""),"可汇总","观察中/未完成结算核对"))))))))</f>
        <v/>
      </c>
      <c r="AG195" s="9">
        <f>IF(C195="","",IF(OR(H195="",I195=""),"待补充",IF(COUNTIFS($C$2:$C$301,C195,$H$2:$H$301,H195,$I$2:$I$301,I195)&lt;&gt;COUNTIF($C$2:$C$301,C195),"请统一日期/负责人",IF(COUNTIF($C$2:C195,C195)=1,1,0))))</f>
        <v/>
      </c>
    </row>
    <row r="196" spans="25:33" ht="34" customHeight="1">
      <c r="Y196" s="10">
        <f>IF(A196="","",IF(COUNT(P196,R196:S196,U196:X196)&lt;7,"待补充",IF(MIN(P196,R196:S196,U196:X196)&lt;0,"检查输入",ROUND(P196-SUM(R196:S196)-SUM(U196:X196),4))))</f>
        <v/>
      </c>
      <c r="AF196" s="9">
        <f>IF(A196="","",IF(COUNTIF($A$2:$A$301,A196)&gt;1,"归因记录ID重复",IF(OR(B196="",C196="",D196="",H196="",COUNT(E196:G196)&lt;3,I196="",Z196=""),"待补归因/证据/日期",IF(F196&lt;E196,"窗口起止错误",IF(COUNTIF('达人线索与合作'!$B$2:$B$301,B196)&lt;&gt;1,"合作ID未唯一匹配",IF(COUNTIFS($B$2:$B$301,B196,$C$2:$C$301,C196,$D$2:$D$301,D196,$E$2:$E$301,E196,$F$2:$F$301,F196)&gt;1,"窗口重复：应更新原行",IF(AND(AD196="是",COUNTIFS($B$2:$B$301,B196,$C$2:$C$301,C196,$D$2:$D$301,D196,$AD$2:$AD$301,"是")&gt;1),"重复汇总：同视频SKU仅选一行",IF(AND(AC196="已复盘",AD196="是",ISNUMBER(Y196),AE196&lt;&gt;""),"可汇总","观察中/未完成结算核对"))))))))</f>
        <v/>
      </c>
      <c r="AG196" s="9">
        <f>IF(C196="","",IF(OR(H196="",I196=""),"待补充",IF(COUNTIFS($C$2:$C$301,C196,$H$2:$H$301,H196,$I$2:$I$301,I196)&lt;&gt;COUNTIF($C$2:$C$301,C196),"请统一日期/负责人",IF(COUNTIF($C$2:C196,C196)=1,1,0))))</f>
        <v/>
      </c>
    </row>
    <row r="197" spans="25:33" ht="34" customHeight="1">
      <c r="Y197" s="10">
        <f>IF(A197="","",IF(COUNT(P197,R197:S197,U197:X197)&lt;7,"待补充",IF(MIN(P197,R197:S197,U197:X197)&lt;0,"检查输入",ROUND(P197-SUM(R197:S197)-SUM(U197:X197),4))))</f>
        <v/>
      </c>
      <c r="AF197" s="9">
        <f>IF(A197="","",IF(COUNTIF($A$2:$A$301,A197)&gt;1,"归因记录ID重复",IF(OR(B197="",C197="",D197="",H197="",COUNT(E197:G197)&lt;3,I197="",Z197=""),"待补归因/证据/日期",IF(F197&lt;E197,"窗口起止错误",IF(COUNTIF('达人线索与合作'!$B$2:$B$301,B197)&lt;&gt;1,"合作ID未唯一匹配",IF(COUNTIFS($B$2:$B$301,B197,$C$2:$C$301,C197,$D$2:$D$301,D197,$E$2:$E$301,E197,$F$2:$F$301,F197)&gt;1,"窗口重复：应更新原行",IF(AND(AD197="是",COUNTIFS($B$2:$B$301,B197,$C$2:$C$301,C197,$D$2:$D$301,D197,$AD$2:$AD$301,"是")&gt;1),"重复汇总：同视频SKU仅选一行",IF(AND(AC197="已复盘",AD197="是",ISNUMBER(Y197),AE197&lt;&gt;""),"可汇总","观察中/未完成结算核对"))))))))</f>
        <v/>
      </c>
      <c r="AG197" s="9">
        <f>IF(C197="","",IF(OR(H197="",I197=""),"待补充",IF(COUNTIFS($C$2:$C$301,C197,$H$2:$H$301,H197,$I$2:$I$301,I197)&lt;&gt;COUNTIF($C$2:$C$301,C197),"请统一日期/负责人",IF(COUNTIF($C$2:C197,C197)=1,1,0))))</f>
        <v/>
      </c>
    </row>
    <row r="198" spans="25:33" ht="34" customHeight="1">
      <c r="Y198" s="10">
        <f>IF(A198="","",IF(COUNT(P198,R198:S198,U198:X198)&lt;7,"待补充",IF(MIN(P198,R198:S198,U198:X198)&lt;0,"检查输入",ROUND(P198-SUM(R198:S198)-SUM(U198:X198),4))))</f>
        <v/>
      </c>
      <c r="AF198" s="9">
        <f>IF(A198="","",IF(COUNTIF($A$2:$A$301,A198)&gt;1,"归因记录ID重复",IF(OR(B198="",C198="",D198="",H198="",COUNT(E198:G198)&lt;3,I198="",Z198=""),"待补归因/证据/日期",IF(F198&lt;E198,"窗口起止错误",IF(COUNTIF('达人线索与合作'!$B$2:$B$301,B198)&lt;&gt;1,"合作ID未唯一匹配",IF(COUNTIFS($B$2:$B$301,B198,$C$2:$C$301,C198,$D$2:$D$301,D198,$E$2:$E$301,E198,$F$2:$F$301,F198)&gt;1,"窗口重复：应更新原行",IF(AND(AD198="是",COUNTIFS($B$2:$B$301,B198,$C$2:$C$301,C198,$D$2:$D$301,D198,$AD$2:$AD$301,"是")&gt;1),"重复汇总：同视频SKU仅选一行",IF(AND(AC198="已复盘",AD198="是",ISNUMBER(Y198),AE198&lt;&gt;""),"可汇总","观察中/未完成结算核对"))))))))</f>
        <v/>
      </c>
      <c r="AG198" s="9">
        <f>IF(C198="","",IF(OR(H198="",I198=""),"待补充",IF(COUNTIFS($C$2:$C$301,C198,$H$2:$H$301,H198,$I$2:$I$301,I198)&lt;&gt;COUNTIF($C$2:$C$301,C198),"请统一日期/负责人",IF(COUNTIF($C$2:C198,C198)=1,1,0))))</f>
        <v/>
      </c>
    </row>
    <row r="199" spans="25:33" ht="34" customHeight="1">
      <c r="Y199" s="10">
        <f>IF(A199="","",IF(COUNT(P199,R199:S199,U199:X199)&lt;7,"待补充",IF(MIN(P199,R199:S199,U199:X199)&lt;0,"检查输入",ROUND(P199-SUM(R199:S199)-SUM(U199:X199),4))))</f>
        <v/>
      </c>
      <c r="AF199" s="9">
        <f>IF(A199="","",IF(COUNTIF($A$2:$A$301,A199)&gt;1,"归因记录ID重复",IF(OR(B199="",C199="",D199="",H199="",COUNT(E199:G199)&lt;3,I199="",Z199=""),"待补归因/证据/日期",IF(F199&lt;E199,"窗口起止错误",IF(COUNTIF('达人线索与合作'!$B$2:$B$301,B199)&lt;&gt;1,"合作ID未唯一匹配",IF(COUNTIFS($B$2:$B$301,B199,$C$2:$C$301,C199,$D$2:$D$301,D199,$E$2:$E$301,E199,$F$2:$F$301,F199)&gt;1,"窗口重复：应更新原行",IF(AND(AD199="是",COUNTIFS($B$2:$B$301,B199,$C$2:$C$301,C199,$D$2:$D$301,D199,$AD$2:$AD$301,"是")&gt;1),"重复汇总：同视频SKU仅选一行",IF(AND(AC199="已复盘",AD199="是",ISNUMBER(Y199),AE199&lt;&gt;""),"可汇总","观察中/未完成结算核对"))))))))</f>
        <v/>
      </c>
      <c r="AG199" s="9">
        <f>IF(C199="","",IF(OR(H199="",I199=""),"待补充",IF(COUNTIFS($C$2:$C$301,C199,$H$2:$H$301,H199,$I$2:$I$301,I199)&lt;&gt;COUNTIF($C$2:$C$301,C199),"请统一日期/负责人",IF(COUNTIF($C$2:C199,C199)=1,1,0))))</f>
        <v/>
      </c>
    </row>
    <row r="200" spans="25:33" ht="34" customHeight="1">
      <c r="Y200" s="10">
        <f>IF(A200="","",IF(COUNT(P200,R200:S200,U200:X200)&lt;7,"待补充",IF(MIN(P200,R200:S200,U200:X200)&lt;0,"检查输入",ROUND(P200-SUM(R200:S200)-SUM(U200:X200),4))))</f>
        <v/>
      </c>
      <c r="AF200" s="9">
        <f>IF(A200="","",IF(COUNTIF($A$2:$A$301,A200)&gt;1,"归因记录ID重复",IF(OR(B200="",C200="",D200="",H200="",COUNT(E200:G200)&lt;3,I200="",Z200=""),"待补归因/证据/日期",IF(F200&lt;E200,"窗口起止错误",IF(COUNTIF('达人线索与合作'!$B$2:$B$301,B200)&lt;&gt;1,"合作ID未唯一匹配",IF(COUNTIFS($B$2:$B$301,B200,$C$2:$C$301,C200,$D$2:$D$301,D200,$E$2:$E$301,E200,$F$2:$F$301,F200)&gt;1,"窗口重复：应更新原行",IF(AND(AD200="是",COUNTIFS($B$2:$B$301,B200,$C$2:$C$301,C200,$D$2:$D$301,D200,$AD$2:$AD$301,"是")&gt;1),"重复汇总：同视频SKU仅选一行",IF(AND(AC200="已复盘",AD200="是",ISNUMBER(Y200),AE200&lt;&gt;""),"可汇总","观察中/未完成结算核对"))))))))</f>
        <v/>
      </c>
      <c r="AG200" s="9">
        <f>IF(C200="","",IF(OR(H200="",I200=""),"待补充",IF(COUNTIFS($C$2:$C$301,C200,$H$2:$H$301,H200,$I$2:$I$301,I200)&lt;&gt;COUNTIF($C$2:$C$301,C200),"请统一日期/负责人",IF(COUNTIF($C$2:C200,C200)=1,1,0))))</f>
        <v/>
      </c>
    </row>
    <row r="201" spans="25:33" ht="34" customHeight="1">
      <c r="Y201" s="10">
        <f>IF(A201="","",IF(COUNT(P201,R201:S201,U201:X201)&lt;7,"待补充",IF(MIN(P201,R201:S201,U201:X201)&lt;0,"检查输入",ROUND(P201-SUM(R201:S201)-SUM(U201:X201),4))))</f>
        <v/>
      </c>
      <c r="AF201" s="9">
        <f>IF(A201="","",IF(COUNTIF($A$2:$A$301,A201)&gt;1,"归因记录ID重复",IF(OR(B201="",C201="",D201="",H201="",COUNT(E201:G201)&lt;3,I201="",Z201=""),"待补归因/证据/日期",IF(F201&lt;E201,"窗口起止错误",IF(COUNTIF('达人线索与合作'!$B$2:$B$301,B201)&lt;&gt;1,"合作ID未唯一匹配",IF(COUNTIFS($B$2:$B$301,B201,$C$2:$C$301,C201,$D$2:$D$301,D201,$E$2:$E$301,E201,$F$2:$F$301,F201)&gt;1,"窗口重复：应更新原行",IF(AND(AD201="是",COUNTIFS($B$2:$B$301,B201,$C$2:$C$301,C201,$D$2:$D$301,D201,$AD$2:$AD$301,"是")&gt;1),"重复汇总：同视频SKU仅选一行",IF(AND(AC201="已复盘",AD201="是",ISNUMBER(Y201),AE201&lt;&gt;""),"可汇总","观察中/未完成结算核对"))))))))</f>
        <v/>
      </c>
      <c r="AG201" s="9">
        <f>IF(C201="","",IF(OR(H201="",I201=""),"待补充",IF(COUNTIFS($C$2:$C$301,C201,$H$2:$H$301,H201,$I$2:$I$301,I201)&lt;&gt;COUNTIF($C$2:$C$301,C201),"请统一日期/负责人",IF(COUNTIF($C$2:C201,C201)=1,1,0))))</f>
        <v/>
      </c>
    </row>
    <row r="202" spans="25:33" ht="34" customHeight="1">
      <c r="Y202" s="10">
        <f>IF(A202="","",IF(COUNT(P202,R202:S202,U202:X202)&lt;7,"待补充",IF(MIN(P202,R202:S202,U202:X202)&lt;0,"检查输入",ROUND(P202-SUM(R202:S202)-SUM(U202:X202),4))))</f>
        <v/>
      </c>
      <c r="AF202" s="9">
        <f>IF(A202="","",IF(COUNTIF($A$2:$A$301,A202)&gt;1,"归因记录ID重复",IF(OR(B202="",C202="",D202="",H202="",COUNT(E202:G202)&lt;3,I202="",Z202=""),"待补归因/证据/日期",IF(F202&lt;E202,"窗口起止错误",IF(COUNTIF('达人线索与合作'!$B$2:$B$301,B202)&lt;&gt;1,"合作ID未唯一匹配",IF(COUNTIFS($B$2:$B$301,B202,$C$2:$C$301,C202,$D$2:$D$301,D202,$E$2:$E$301,E202,$F$2:$F$301,F202)&gt;1,"窗口重复：应更新原行",IF(AND(AD202="是",COUNTIFS($B$2:$B$301,B202,$C$2:$C$301,C202,$D$2:$D$301,D202,$AD$2:$AD$301,"是")&gt;1),"重复汇总：同视频SKU仅选一行",IF(AND(AC202="已复盘",AD202="是",ISNUMBER(Y202),AE202&lt;&gt;""),"可汇总","观察中/未完成结算核对"))))))))</f>
        <v/>
      </c>
      <c r="AG202" s="9">
        <f>IF(C202="","",IF(OR(H202="",I202=""),"待补充",IF(COUNTIFS($C$2:$C$301,C202,$H$2:$H$301,H202,$I$2:$I$301,I202)&lt;&gt;COUNTIF($C$2:$C$301,C202),"请统一日期/负责人",IF(COUNTIF($C$2:C202,C202)=1,1,0))))</f>
        <v/>
      </c>
    </row>
    <row r="203" spans="25:33" ht="34" customHeight="1">
      <c r="Y203" s="10">
        <f>IF(A203="","",IF(COUNT(P203,R203:S203,U203:X203)&lt;7,"待补充",IF(MIN(P203,R203:S203,U203:X203)&lt;0,"检查输入",ROUND(P203-SUM(R203:S203)-SUM(U203:X203),4))))</f>
        <v/>
      </c>
      <c r="AF203" s="9">
        <f>IF(A203="","",IF(COUNTIF($A$2:$A$301,A203)&gt;1,"归因记录ID重复",IF(OR(B203="",C203="",D203="",H203="",COUNT(E203:G203)&lt;3,I203="",Z203=""),"待补归因/证据/日期",IF(F203&lt;E203,"窗口起止错误",IF(COUNTIF('达人线索与合作'!$B$2:$B$301,B203)&lt;&gt;1,"合作ID未唯一匹配",IF(COUNTIFS($B$2:$B$301,B203,$C$2:$C$301,C203,$D$2:$D$301,D203,$E$2:$E$301,E203,$F$2:$F$301,F203)&gt;1,"窗口重复：应更新原行",IF(AND(AD203="是",COUNTIFS($B$2:$B$301,B203,$C$2:$C$301,C203,$D$2:$D$301,D203,$AD$2:$AD$301,"是")&gt;1),"重复汇总：同视频SKU仅选一行",IF(AND(AC203="已复盘",AD203="是",ISNUMBER(Y203),AE203&lt;&gt;""),"可汇总","观察中/未完成结算核对"))))))))</f>
        <v/>
      </c>
      <c r="AG203" s="9">
        <f>IF(C203="","",IF(OR(H203="",I203=""),"待补充",IF(COUNTIFS($C$2:$C$301,C203,$H$2:$H$301,H203,$I$2:$I$301,I203)&lt;&gt;COUNTIF($C$2:$C$301,C203),"请统一日期/负责人",IF(COUNTIF($C$2:C203,C203)=1,1,0))))</f>
        <v/>
      </c>
    </row>
    <row r="204" spans="25:33" ht="34" customHeight="1">
      <c r="Y204" s="10">
        <f>IF(A204="","",IF(COUNT(P204,R204:S204,U204:X204)&lt;7,"待补充",IF(MIN(P204,R204:S204,U204:X204)&lt;0,"检查输入",ROUND(P204-SUM(R204:S204)-SUM(U204:X204),4))))</f>
        <v/>
      </c>
      <c r="AF204" s="9">
        <f>IF(A204="","",IF(COUNTIF($A$2:$A$301,A204)&gt;1,"归因记录ID重复",IF(OR(B204="",C204="",D204="",H204="",COUNT(E204:G204)&lt;3,I204="",Z204=""),"待补归因/证据/日期",IF(F204&lt;E204,"窗口起止错误",IF(COUNTIF('达人线索与合作'!$B$2:$B$301,B204)&lt;&gt;1,"合作ID未唯一匹配",IF(COUNTIFS($B$2:$B$301,B204,$C$2:$C$301,C204,$D$2:$D$301,D204,$E$2:$E$301,E204,$F$2:$F$301,F204)&gt;1,"窗口重复：应更新原行",IF(AND(AD204="是",COUNTIFS($B$2:$B$301,B204,$C$2:$C$301,C204,$D$2:$D$301,D204,$AD$2:$AD$301,"是")&gt;1),"重复汇总：同视频SKU仅选一行",IF(AND(AC204="已复盘",AD204="是",ISNUMBER(Y204),AE204&lt;&gt;""),"可汇总","观察中/未完成结算核对"))))))))</f>
        <v/>
      </c>
      <c r="AG204" s="9">
        <f>IF(C204="","",IF(OR(H204="",I204=""),"待补充",IF(COUNTIFS($C$2:$C$301,C204,$H$2:$H$301,H204,$I$2:$I$301,I204)&lt;&gt;COUNTIF($C$2:$C$301,C204),"请统一日期/负责人",IF(COUNTIF($C$2:C204,C204)=1,1,0))))</f>
        <v/>
      </c>
    </row>
    <row r="205" spans="25:33" ht="34" customHeight="1">
      <c r="Y205" s="10">
        <f>IF(A205="","",IF(COUNT(P205,R205:S205,U205:X205)&lt;7,"待补充",IF(MIN(P205,R205:S205,U205:X205)&lt;0,"检查输入",ROUND(P205-SUM(R205:S205)-SUM(U205:X205),4))))</f>
        <v/>
      </c>
      <c r="AF205" s="9">
        <f>IF(A205="","",IF(COUNTIF($A$2:$A$301,A205)&gt;1,"归因记录ID重复",IF(OR(B205="",C205="",D205="",H205="",COUNT(E205:G205)&lt;3,I205="",Z205=""),"待补归因/证据/日期",IF(F205&lt;E205,"窗口起止错误",IF(COUNTIF('达人线索与合作'!$B$2:$B$301,B205)&lt;&gt;1,"合作ID未唯一匹配",IF(COUNTIFS($B$2:$B$301,B205,$C$2:$C$301,C205,$D$2:$D$301,D205,$E$2:$E$301,E205,$F$2:$F$301,F205)&gt;1,"窗口重复：应更新原行",IF(AND(AD205="是",COUNTIFS($B$2:$B$301,B205,$C$2:$C$301,C205,$D$2:$D$301,D205,$AD$2:$AD$301,"是")&gt;1),"重复汇总：同视频SKU仅选一行",IF(AND(AC205="已复盘",AD205="是",ISNUMBER(Y205),AE205&lt;&gt;""),"可汇总","观察中/未完成结算核对"))))))))</f>
        <v/>
      </c>
      <c r="AG205" s="9">
        <f>IF(C205="","",IF(OR(H205="",I205=""),"待补充",IF(COUNTIFS($C$2:$C$301,C205,$H$2:$H$301,H205,$I$2:$I$301,I205)&lt;&gt;COUNTIF($C$2:$C$301,C205),"请统一日期/负责人",IF(COUNTIF($C$2:C205,C205)=1,1,0))))</f>
        <v/>
      </c>
    </row>
    <row r="206" spans="25:33" ht="34" customHeight="1">
      <c r="Y206" s="10">
        <f>IF(A206="","",IF(COUNT(P206,R206:S206,U206:X206)&lt;7,"待补充",IF(MIN(P206,R206:S206,U206:X206)&lt;0,"检查输入",ROUND(P206-SUM(R206:S206)-SUM(U206:X206),4))))</f>
        <v/>
      </c>
      <c r="AF206" s="9">
        <f>IF(A206="","",IF(COUNTIF($A$2:$A$301,A206)&gt;1,"归因记录ID重复",IF(OR(B206="",C206="",D206="",H206="",COUNT(E206:G206)&lt;3,I206="",Z206=""),"待补归因/证据/日期",IF(F206&lt;E206,"窗口起止错误",IF(COUNTIF('达人线索与合作'!$B$2:$B$301,B206)&lt;&gt;1,"合作ID未唯一匹配",IF(COUNTIFS($B$2:$B$301,B206,$C$2:$C$301,C206,$D$2:$D$301,D206,$E$2:$E$301,E206,$F$2:$F$301,F206)&gt;1,"窗口重复：应更新原行",IF(AND(AD206="是",COUNTIFS($B$2:$B$301,B206,$C$2:$C$301,C206,$D$2:$D$301,D206,$AD$2:$AD$301,"是")&gt;1),"重复汇总：同视频SKU仅选一行",IF(AND(AC206="已复盘",AD206="是",ISNUMBER(Y206),AE206&lt;&gt;""),"可汇总","观察中/未完成结算核对"))))))))</f>
        <v/>
      </c>
      <c r="AG206" s="9">
        <f>IF(C206="","",IF(OR(H206="",I206=""),"待补充",IF(COUNTIFS($C$2:$C$301,C206,$H$2:$H$301,H206,$I$2:$I$301,I206)&lt;&gt;COUNTIF($C$2:$C$301,C206),"请统一日期/负责人",IF(COUNTIF($C$2:C206,C206)=1,1,0))))</f>
        <v/>
      </c>
    </row>
    <row r="207" spans="25:33" ht="34" customHeight="1">
      <c r="Y207" s="10">
        <f>IF(A207="","",IF(COUNT(P207,R207:S207,U207:X207)&lt;7,"待补充",IF(MIN(P207,R207:S207,U207:X207)&lt;0,"检查输入",ROUND(P207-SUM(R207:S207)-SUM(U207:X207),4))))</f>
        <v/>
      </c>
      <c r="AF207" s="9">
        <f>IF(A207="","",IF(COUNTIF($A$2:$A$301,A207)&gt;1,"归因记录ID重复",IF(OR(B207="",C207="",D207="",H207="",COUNT(E207:G207)&lt;3,I207="",Z207=""),"待补归因/证据/日期",IF(F207&lt;E207,"窗口起止错误",IF(COUNTIF('达人线索与合作'!$B$2:$B$301,B207)&lt;&gt;1,"合作ID未唯一匹配",IF(COUNTIFS($B$2:$B$301,B207,$C$2:$C$301,C207,$D$2:$D$301,D207,$E$2:$E$301,E207,$F$2:$F$301,F207)&gt;1,"窗口重复：应更新原行",IF(AND(AD207="是",COUNTIFS($B$2:$B$301,B207,$C$2:$C$301,C207,$D$2:$D$301,D207,$AD$2:$AD$301,"是")&gt;1),"重复汇总：同视频SKU仅选一行",IF(AND(AC207="已复盘",AD207="是",ISNUMBER(Y207),AE207&lt;&gt;""),"可汇总","观察中/未完成结算核对"))))))))</f>
        <v/>
      </c>
      <c r="AG207" s="9">
        <f>IF(C207="","",IF(OR(H207="",I207=""),"待补充",IF(COUNTIFS($C$2:$C$301,C207,$H$2:$H$301,H207,$I$2:$I$301,I207)&lt;&gt;COUNTIF($C$2:$C$301,C207),"请统一日期/负责人",IF(COUNTIF($C$2:C207,C207)=1,1,0))))</f>
        <v/>
      </c>
    </row>
    <row r="208" spans="25:33" ht="34" customHeight="1">
      <c r="Y208" s="10">
        <f>IF(A208="","",IF(COUNT(P208,R208:S208,U208:X208)&lt;7,"待补充",IF(MIN(P208,R208:S208,U208:X208)&lt;0,"检查输入",ROUND(P208-SUM(R208:S208)-SUM(U208:X208),4))))</f>
        <v/>
      </c>
      <c r="AF208" s="9">
        <f>IF(A208="","",IF(COUNTIF($A$2:$A$301,A208)&gt;1,"归因记录ID重复",IF(OR(B208="",C208="",D208="",H208="",COUNT(E208:G208)&lt;3,I208="",Z208=""),"待补归因/证据/日期",IF(F208&lt;E208,"窗口起止错误",IF(COUNTIF('达人线索与合作'!$B$2:$B$301,B208)&lt;&gt;1,"合作ID未唯一匹配",IF(COUNTIFS($B$2:$B$301,B208,$C$2:$C$301,C208,$D$2:$D$301,D208,$E$2:$E$301,E208,$F$2:$F$301,F208)&gt;1,"窗口重复：应更新原行",IF(AND(AD208="是",COUNTIFS($B$2:$B$301,B208,$C$2:$C$301,C208,$D$2:$D$301,D208,$AD$2:$AD$301,"是")&gt;1),"重复汇总：同视频SKU仅选一行",IF(AND(AC208="已复盘",AD208="是",ISNUMBER(Y208),AE208&lt;&gt;""),"可汇总","观察中/未完成结算核对"))))))))</f>
        <v/>
      </c>
      <c r="AG208" s="9">
        <f>IF(C208="","",IF(OR(H208="",I208=""),"待补充",IF(COUNTIFS($C$2:$C$301,C208,$H$2:$H$301,H208,$I$2:$I$301,I208)&lt;&gt;COUNTIF($C$2:$C$301,C208),"请统一日期/负责人",IF(COUNTIF($C$2:C208,C208)=1,1,0))))</f>
        <v/>
      </c>
    </row>
    <row r="209" spans="25:33" ht="34" customHeight="1">
      <c r="Y209" s="10">
        <f>IF(A209="","",IF(COUNT(P209,R209:S209,U209:X209)&lt;7,"待补充",IF(MIN(P209,R209:S209,U209:X209)&lt;0,"检查输入",ROUND(P209-SUM(R209:S209)-SUM(U209:X209),4))))</f>
        <v/>
      </c>
      <c r="AF209" s="9">
        <f>IF(A209="","",IF(COUNTIF($A$2:$A$301,A209)&gt;1,"归因记录ID重复",IF(OR(B209="",C209="",D209="",H209="",COUNT(E209:G209)&lt;3,I209="",Z209=""),"待补归因/证据/日期",IF(F209&lt;E209,"窗口起止错误",IF(COUNTIF('达人线索与合作'!$B$2:$B$301,B209)&lt;&gt;1,"合作ID未唯一匹配",IF(COUNTIFS($B$2:$B$301,B209,$C$2:$C$301,C209,$D$2:$D$301,D209,$E$2:$E$301,E209,$F$2:$F$301,F209)&gt;1,"窗口重复：应更新原行",IF(AND(AD209="是",COUNTIFS($B$2:$B$301,B209,$C$2:$C$301,C209,$D$2:$D$301,D209,$AD$2:$AD$301,"是")&gt;1),"重复汇总：同视频SKU仅选一行",IF(AND(AC209="已复盘",AD209="是",ISNUMBER(Y209),AE209&lt;&gt;""),"可汇总","观察中/未完成结算核对"))))))))</f>
        <v/>
      </c>
      <c r="AG209" s="9">
        <f>IF(C209="","",IF(OR(H209="",I209=""),"待补充",IF(COUNTIFS($C$2:$C$301,C209,$H$2:$H$301,H209,$I$2:$I$301,I209)&lt;&gt;COUNTIF($C$2:$C$301,C209),"请统一日期/负责人",IF(COUNTIF($C$2:C209,C209)=1,1,0))))</f>
        <v/>
      </c>
    </row>
    <row r="210" spans="25:33" ht="34" customHeight="1">
      <c r="Y210" s="10">
        <f>IF(A210="","",IF(COUNT(P210,R210:S210,U210:X210)&lt;7,"待补充",IF(MIN(P210,R210:S210,U210:X210)&lt;0,"检查输入",ROUND(P210-SUM(R210:S210)-SUM(U210:X210),4))))</f>
        <v/>
      </c>
      <c r="AF210" s="9">
        <f>IF(A210="","",IF(COUNTIF($A$2:$A$301,A210)&gt;1,"归因记录ID重复",IF(OR(B210="",C210="",D210="",H210="",COUNT(E210:G210)&lt;3,I210="",Z210=""),"待补归因/证据/日期",IF(F210&lt;E210,"窗口起止错误",IF(COUNTIF('达人线索与合作'!$B$2:$B$301,B210)&lt;&gt;1,"合作ID未唯一匹配",IF(COUNTIFS($B$2:$B$301,B210,$C$2:$C$301,C210,$D$2:$D$301,D210,$E$2:$E$301,E210,$F$2:$F$301,F210)&gt;1,"窗口重复：应更新原行",IF(AND(AD210="是",COUNTIFS($B$2:$B$301,B210,$C$2:$C$301,C210,$D$2:$D$301,D210,$AD$2:$AD$301,"是")&gt;1),"重复汇总：同视频SKU仅选一行",IF(AND(AC210="已复盘",AD210="是",ISNUMBER(Y210),AE210&lt;&gt;""),"可汇总","观察中/未完成结算核对"))))))))</f>
        <v/>
      </c>
      <c r="AG210" s="9">
        <f>IF(C210="","",IF(OR(H210="",I210=""),"待补充",IF(COUNTIFS($C$2:$C$301,C210,$H$2:$H$301,H210,$I$2:$I$301,I210)&lt;&gt;COUNTIF($C$2:$C$301,C210),"请统一日期/负责人",IF(COUNTIF($C$2:C210,C210)=1,1,0))))</f>
        <v/>
      </c>
    </row>
    <row r="211" spans="25:33" ht="34" customHeight="1">
      <c r="Y211" s="10">
        <f>IF(A211="","",IF(COUNT(P211,R211:S211,U211:X211)&lt;7,"待补充",IF(MIN(P211,R211:S211,U211:X211)&lt;0,"检查输入",ROUND(P211-SUM(R211:S211)-SUM(U211:X211),4))))</f>
        <v/>
      </c>
      <c r="AF211" s="9">
        <f>IF(A211="","",IF(COUNTIF($A$2:$A$301,A211)&gt;1,"归因记录ID重复",IF(OR(B211="",C211="",D211="",H211="",COUNT(E211:G211)&lt;3,I211="",Z211=""),"待补归因/证据/日期",IF(F211&lt;E211,"窗口起止错误",IF(COUNTIF('达人线索与合作'!$B$2:$B$301,B211)&lt;&gt;1,"合作ID未唯一匹配",IF(COUNTIFS($B$2:$B$301,B211,$C$2:$C$301,C211,$D$2:$D$301,D211,$E$2:$E$301,E211,$F$2:$F$301,F211)&gt;1,"窗口重复：应更新原行",IF(AND(AD211="是",COUNTIFS($B$2:$B$301,B211,$C$2:$C$301,C211,$D$2:$D$301,D211,$AD$2:$AD$301,"是")&gt;1),"重复汇总：同视频SKU仅选一行",IF(AND(AC211="已复盘",AD211="是",ISNUMBER(Y211),AE211&lt;&gt;""),"可汇总","观察中/未完成结算核对"))))))))</f>
        <v/>
      </c>
      <c r="AG211" s="9">
        <f>IF(C211="","",IF(OR(H211="",I211=""),"待补充",IF(COUNTIFS($C$2:$C$301,C211,$H$2:$H$301,H211,$I$2:$I$301,I211)&lt;&gt;COUNTIF($C$2:$C$301,C211),"请统一日期/负责人",IF(COUNTIF($C$2:C211,C211)=1,1,0))))</f>
        <v/>
      </c>
    </row>
    <row r="212" spans="25:33" ht="34" customHeight="1">
      <c r="Y212" s="10">
        <f>IF(A212="","",IF(COUNT(P212,R212:S212,U212:X212)&lt;7,"待补充",IF(MIN(P212,R212:S212,U212:X212)&lt;0,"检查输入",ROUND(P212-SUM(R212:S212)-SUM(U212:X212),4))))</f>
        <v/>
      </c>
      <c r="AF212" s="9">
        <f>IF(A212="","",IF(COUNTIF($A$2:$A$301,A212)&gt;1,"归因记录ID重复",IF(OR(B212="",C212="",D212="",H212="",COUNT(E212:G212)&lt;3,I212="",Z212=""),"待补归因/证据/日期",IF(F212&lt;E212,"窗口起止错误",IF(COUNTIF('达人线索与合作'!$B$2:$B$301,B212)&lt;&gt;1,"合作ID未唯一匹配",IF(COUNTIFS($B$2:$B$301,B212,$C$2:$C$301,C212,$D$2:$D$301,D212,$E$2:$E$301,E212,$F$2:$F$301,F212)&gt;1,"窗口重复：应更新原行",IF(AND(AD212="是",COUNTIFS($B$2:$B$301,B212,$C$2:$C$301,C212,$D$2:$D$301,D212,$AD$2:$AD$301,"是")&gt;1),"重复汇总：同视频SKU仅选一行",IF(AND(AC212="已复盘",AD212="是",ISNUMBER(Y212),AE212&lt;&gt;""),"可汇总","观察中/未完成结算核对"))))))))</f>
        <v/>
      </c>
      <c r="AG212" s="9">
        <f>IF(C212="","",IF(OR(H212="",I212=""),"待补充",IF(COUNTIFS($C$2:$C$301,C212,$H$2:$H$301,H212,$I$2:$I$301,I212)&lt;&gt;COUNTIF($C$2:$C$301,C212),"请统一日期/负责人",IF(COUNTIF($C$2:C212,C212)=1,1,0))))</f>
        <v/>
      </c>
    </row>
    <row r="213" spans="25:33" ht="34" customHeight="1">
      <c r="Y213" s="10">
        <f>IF(A213="","",IF(COUNT(P213,R213:S213,U213:X213)&lt;7,"待补充",IF(MIN(P213,R213:S213,U213:X213)&lt;0,"检查输入",ROUND(P213-SUM(R213:S213)-SUM(U213:X213),4))))</f>
        <v/>
      </c>
      <c r="AF213" s="9">
        <f>IF(A213="","",IF(COUNTIF($A$2:$A$301,A213)&gt;1,"归因记录ID重复",IF(OR(B213="",C213="",D213="",H213="",COUNT(E213:G213)&lt;3,I213="",Z213=""),"待补归因/证据/日期",IF(F213&lt;E213,"窗口起止错误",IF(COUNTIF('达人线索与合作'!$B$2:$B$301,B213)&lt;&gt;1,"合作ID未唯一匹配",IF(COUNTIFS($B$2:$B$301,B213,$C$2:$C$301,C213,$D$2:$D$301,D213,$E$2:$E$301,E213,$F$2:$F$301,F213)&gt;1,"窗口重复：应更新原行",IF(AND(AD213="是",COUNTIFS($B$2:$B$301,B213,$C$2:$C$301,C213,$D$2:$D$301,D213,$AD$2:$AD$301,"是")&gt;1),"重复汇总：同视频SKU仅选一行",IF(AND(AC213="已复盘",AD213="是",ISNUMBER(Y213),AE213&lt;&gt;""),"可汇总","观察中/未完成结算核对"))))))))</f>
        <v/>
      </c>
      <c r="AG213" s="9">
        <f>IF(C213="","",IF(OR(H213="",I213=""),"待补充",IF(COUNTIFS($C$2:$C$301,C213,$H$2:$H$301,H213,$I$2:$I$301,I213)&lt;&gt;COUNTIF($C$2:$C$301,C213),"请统一日期/负责人",IF(COUNTIF($C$2:C213,C213)=1,1,0))))</f>
        <v/>
      </c>
    </row>
    <row r="214" spans="25:33" ht="34" customHeight="1">
      <c r="Y214" s="10">
        <f>IF(A214="","",IF(COUNT(P214,R214:S214,U214:X214)&lt;7,"待补充",IF(MIN(P214,R214:S214,U214:X214)&lt;0,"检查输入",ROUND(P214-SUM(R214:S214)-SUM(U214:X214),4))))</f>
        <v/>
      </c>
      <c r="AF214" s="9">
        <f>IF(A214="","",IF(COUNTIF($A$2:$A$301,A214)&gt;1,"归因记录ID重复",IF(OR(B214="",C214="",D214="",H214="",COUNT(E214:G214)&lt;3,I214="",Z214=""),"待补归因/证据/日期",IF(F214&lt;E214,"窗口起止错误",IF(COUNTIF('达人线索与合作'!$B$2:$B$301,B214)&lt;&gt;1,"合作ID未唯一匹配",IF(COUNTIFS($B$2:$B$301,B214,$C$2:$C$301,C214,$D$2:$D$301,D214,$E$2:$E$301,E214,$F$2:$F$301,F214)&gt;1,"窗口重复：应更新原行",IF(AND(AD214="是",COUNTIFS($B$2:$B$301,B214,$C$2:$C$301,C214,$D$2:$D$301,D214,$AD$2:$AD$301,"是")&gt;1),"重复汇总：同视频SKU仅选一行",IF(AND(AC214="已复盘",AD214="是",ISNUMBER(Y214),AE214&lt;&gt;""),"可汇总","观察中/未完成结算核对"))))))))</f>
        <v/>
      </c>
      <c r="AG214" s="9">
        <f>IF(C214="","",IF(OR(H214="",I214=""),"待补充",IF(COUNTIFS($C$2:$C$301,C214,$H$2:$H$301,H214,$I$2:$I$301,I214)&lt;&gt;COUNTIF($C$2:$C$301,C214),"请统一日期/负责人",IF(COUNTIF($C$2:C214,C214)=1,1,0))))</f>
        <v/>
      </c>
    </row>
    <row r="215" spans="25:33" ht="34" customHeight="1">
      <c r="Y215" s="10">
        <f>IF(A215="","",IF(COUNT(P215,R215:S215,U215:X215)&lt;7,"待补充",IF(MIN(P215,R215:S215,U215:X215)&lt;0,"检查输入",ROUND(P215-SUM(R215:S215)-SUM(U215:X215),4))))</f>
        <v/>
      </c>
      <c r="AF215" s="9">
        <f>IF(A215="","",IF(COUNTIF($A$2:$A$301,A215)&gt;1,"归因记录ID重复",IF(OR(B215="",C215="",D215="",H215="",COUNT(E215:G215)&lt;3,I215="",Z215=""),"待补归因/证据/日期",IF(F215&lt;E215,"窗口起止错误",IF(COUNTIF('达人线索与合作'!$B$2:$B$301,B215)&lt;&gt;1,"合作ID未唯一匹配",IF(COUNTIFS($B$2:$B$301,B215,$C$2:$C$301,C215,$D$2:$D$301,D215,$E$2:$E$301,E215,$F$2:$F$301,F215)&gt;1,"窗口重复：应更新原行",IF(AND(AD215="是",COUNTIFS($B$2:$B$301,B215,$C$2:$C$301,C215,$D$2:$D$301,D215,$AD$2:$AD$301,"是")&gt;1),"重复汇总：同视频SKU仅选一行",IF(AND(AC215="已复盘",AD215="是",ISNUMBER(Y215),AE215&lt;&gt;""),"可汇总","观察中/未完成结算核对"))))))))</f>
        <v/>
      </c>
      <c r="AG215" s="9">
        <f>IF(C215="","",IF(OR(H215="",I215=""),"待补充",IF(COUNTIFS($C$2:$C$301,C215,$H$2:$H$301,H215,$I$2:$I$301,I215)&lt;&gt;COUNTIF($C$2:$C$301,C215),"请统一日期/负责人",IF(COUNTIF($C$2:C215,C215)=1,1,0))))</f>
        <v/>
      </c>
    </row>
    <row r="216" spans="25:33" ht="34" customHeight="1">
      <c r="Y216" s="10">
        <f>IF(A216="","",IF(COUNT(P216,R216:S216,U216:X216)&lt;7,"待补充",IF(MIN(P216,R216:S216,U216:X216)&lt;0,"检查输入",ROUND(P216-SUM(R216:S216)-SUM(U216:X216),4))))</f>
        <v/>
      </c>
      <c r="AF216" s="9">
        <f>IF(A216="","",IF(COUNTIF($A$2:$A$301,A216)&gt;1,"归因记录ID重复",IF(OR(B216="",C216="",D216="",H216="",COUNT(E216:G216)&lt;3,I216="",Z216=""),"待补归因/证据/日期",IF(F216&lt;E216,"窗口起止错误",IF(COUNTIF('达人线索与合作'!$B$2:$B$301,B216)&lt;&gt;1,"合作ID未唯一匹配",IF(COUNTIFS($B$2:$B$301,B216,$C$2:$C$301,C216,$D$2:$D$301,D216,$E$2:$E$301,E216,$F$2:$F$301,F216)&gt;1,"窗口重复：应更新原行",IF(AND(AD216="是",COUNTIFS($B$2:$B$301,B216,$C$2:$C$301,C216,$D$2:$D$301,D216,$AD$2:$AD$301,"是")&gt;1),"重复汇总：同视频SKU仅选一行",IF(AND(AC216="已复盘",AD216="是",ISNUMBER(Y216),AE216&lt;&gt;""),"可汇总","观察中/未完成结算核对"))))))))</f>
        <v/>
      </c>
      <c r="AG216" s="9">
        <f>IF(C216="","",IF(OR(H216="",I216=""),"待补充",IF(COUNTIFS($C$2:$C$301,C216,$H$2:$H$301,H216,$I$2:$I$301,I216)&lt;&gt;COUNTIF($C$2:$C$301,C216),"请统一日期/负责人",IF(COUNTIF($C$2:C216,C216)=1,1,0))))</f>
        <v/>
      </c>
    </row>
    <row r="217" spans="25:33" ht="34" customHeight="1">
      <c r="Y217" s="10">
        <f>IF(A217="","",IF(COUNT(P217,R217:S217,U217:X217)&lt;7,"待补充",IF(MIN(P217,R217:S217,U217:X217)&lt;0,"检查输入",ROUND(P217-SUM(R217:S217)-SUM(U217:X217),4))))</f>
        <v/>
      </c>
      <c r="AF217" s="9">
        <f>IF(A217="","",IF(COUNTIF($A$2:$A$301,A217)&gt;1,"归因记录ID重复",IF(OR(B217="",C217="",D217="",H217="",COUNT(E217:G217)&lt;3,I217="",Z217=""),"待补归因/证据/日期",IF(F217&lt;E217,"窗口起止错误",IF(COUNTIF('达人线索与合作'!$B$2:$B$301,B217)&lt;&gt;1,"合作ID未唯一匹配",IF(COUNTIFS($B$2:$B$301,B217,$C$2:$C$301,C217,$D$2:$D$301,D217,$E$2:$E$301,E217,$F$2:$F$301,F217)&gt;1,"窗口重复：应更新原行",IF(AND(AD217="是",COUNTIFS($B$2:$B$301,B217,$C$2:$C$301,C217,$D$2:$D$301,D217,$AD$2:$AD$301,"是")&gt;1),"重复汇总：同视频SKU仅选一行",IF(AND(AC217="已复盘",AD217="是",ISNUMBER(Y217),AE217&lt;&gt;""),"可汇总","观察中/未完成结算核对"))))))))</f>
        <v/>
      </c>
      <c r="AG217" s="9">
        <f>IF(C217="","",IF(OR(H217="",I217=""),"待补充",IF(COUNTIFS($C$2:$C$301,C217,$H$2:$H$301,H217,$I$2:$I$301,I217)&lt;&gt;COUNTIF($C$2:$C$301,C217),"请统一日期/负责人",IF(COUNTIF($C$2:C217,C217)=1,1,0))))</f>
        <v/>
      </c>
    </row>
    <row r="218" spans="25:33" ht="34" customHeight="1">
      <c r="Y218" s="10">
        <f>IF(A218="","",IF(COUNT(P218,R218:S218,U218:X218)&lt;7,"待补充",IF(MIN(P218,R218:S218,U218:X218)&lt;0,"检查输入",ROUND(P218-SUM(R218:S218)-SUM(U218:X218),4))))</f>
        <v/>
      </c>
      <c r="AF218" s="9">
        <f>IF(A218="","",IF(COUNTIF($A$2:$A$301,A218)&gt;1,"归因记录ID重复",IF(OR(B218="",C218="",D218="",H218="",COUNT(E218:G218)&lt;3,I218="",Z218=""),"待补归因/证据/日期",IF(F218&lt;E218,"窗口起止错误",IF(COUNTIF('达人线索与合作'!$B$2:$B$301,B218)&lt;&gt;1,"合作ID未唯一匹配",IF(COUNTIFS($B$2:$B$301,B218,$C$2:$C$301,C218,$D$2:$D$301,D218,$E$2:$E$301,E218,$F$2:$F$301,F218)&gt;1,"窗口重复：应更新原行",IF(AND(AD218="是",COUNTIFS($B$2:$B$301,B218,$C$2:$C$301,C218,$D$2:$D$301,D218,$AD$2:$AD$301,"是")&gt;1),"重复汇总：同视频SKU仅选一行",IF(AND(AC218="已复盘",AD218="是",ISNUMBER(Y218),AE218&lt;&gt;""),"可汇总","观察中/未完成结算核对"))))))))</f>
        <v/>
      </c>
      <c r="AG218" s="9">
        <f>IF(C218="","",IF(OR(H218="",I218=""),"待补充",IF(COUNTIFS($C$2:$C$301,C218,$H$2:$H$301,H218,$I$2:$I$301,I218)&lt;&gt;COUNTIF($C$2:$C$301,C218),"请统一日期/负责人",IF(COUNTIF($C$2:C218,C218)=1,1,0))))</f>
        <v/>
      </c>
    </row>
    <row r="219" spans="25:33" ht="34" customHeight="1">
      <c r="Y219" s="10">
        <f>IF(A219="","",IF(COUNT(P219,R219:S219,U219:X219)&lt;7,"待补充",IF(MIN(P219,R219:S219,U219:X219)&lt;0,"检查输入",ROUND(P219-SUM(R219:S219)-SUM(U219:X219),4))))</f>
        <v/>
      </c>
      <c r="AF219" s="9">
        <f>IF(A219="","",IF(COUNTIF($A$2:$A$301,A219)&gt;1,"归因记录ID重复",IF(OR(B219="",C219="",D219="",H219="",COUNT(E219:G219)&lt;3,I219="",Z219=""),"待补归因/证据/日期",IF(F219&lt;E219,"窗口起止错误",IF(COUNTIF('达人线索与合作'!$B$2:$B$301,B219)&lt;&gt;1,"合作ID未唯一匹配",IF(COUNTIFS($B$2:$B$301,B219,$C$2:$C$301,C219,$D$2:$D$301,D219,$E$2:$E$301,E219,$F$2:$F$301,F219)&gt;1,"窗口重复：应更新原行",IF(AND(AD219="是",COUNTIFS($B$2:$B$301,B219,$C$2:$C$301,C219,$D$2:$D$301,D219,$AD$2:$AD$301,"是")&gt;1),"重复汇总：同视频SKU仅选一行",IF(AND(AC219="已复盘",AD219="是",ISNUMBER(Y219),AE219&lt;&gt;""),"可汇总","观察中/未完成结算核对"))))))))</f>
        <v/>
      </c>
      <c r="AG219" s="9">
        <f>IF(C219="","",IF(OR(H219="",I219=""),"待补充",IF(COUNTIFS($C$2:$C$301,C219,$H$2:$H$301,H219,$I$2:$I$301,I219)&lt;&gt;COUNTIF($C$2:$C$301,C219),"请统一日期/负责人",IF(COUNTIF($C$2:C219,C219)=1,1,0))))</f>
        <v/>
      </c>
    </row>
    <row r="220" spans="25:33" ht="34" customHeight="1">
      <c r="Y220" s="10">
        <f>IF(A220="","",IF(COUNT(P220,R220:S220,U220:X220)&lt;7,"待补充",IF(MIN(P220,R220:S220,U220:X220)&lt;0,"检查输入",ROUND(P220-SUM(R220:S220)-SUM(U220:X220),4))))</f>
        <v/>
      </c>
      <c r="AF220" s="9">
        <f>IF(A220="","",IF(COUNTIF($A$2:$A$301,A220)&gt;1,"归因记录ID重复",IF(OR(B220="",C220="",D220="",H220="",COUNT(E220:G220)&lt;3,I220="",Z220=""),"待补归因/证据/日期",IF(F220&lt;E220,"窗口起止错误",IF(COUNTIF('达人线索与合作'!$B$2:$B$301,B220)&lt;&gt;1,"合作ID未唯一匹配",IF(COUNTIFS($B$2:$B$301,B220,$C$2:$C$301,C220,$D$2:$D$301,D220,$E$2:$E$301,E220,$F$2:$F$301,F220)&gt;1,"窗口重复：应更新原行",IF(AND(AD220="是",COUNTIFS($B$2:$B$301,B220,$C$2:$C$301,C220,$D$2:$D$301,D220,$AD$2:$AD$301,"是")&gt;1),"重复汇总：同视频SKU仅选一行",IF(AND(AC220="已复盘",AD220="是",ISNUMBER(Y220),AE220&lt;&gt;""),"可汇总","观察中/未完成结算核对"))))))))</f>
        <v/>
      </c>
      <c r="AG220" s="9">
        <f>IF(C220="","",IF(OR(H220="",I220=""),"待补充",IF(COUNTIFS($C$2:$C$301,C220,$H$2:$H$301,H220,$I$2:$I$301,I220)&lt;&gt;COUNTIF($C$2:$C$301,C220),"请统一日期/负责人",IF(COUNTIF($C$2:C220,C220)=1,1,0))))</f>
        <v/>
      </c>
    </row>
    <row r="221" spans="25:33" ht="34" customHeight="1">
      <c r="Y221" s="10">
        <f>IF(A221="","",IF(COUNT(P221,R221:S221,U221:X221)&lt;7,"待补充",IF(MIN(P221,R221:S221,U221:X221)&lt;0,"检查输入",ROUND(P221-SUM(R221:S221)-SUM(U221:X221),4))))</f>
        <v/>
      </c>
      <c r="AF221" s="9">
        <f>IF(A221="","",IF(COUNTIF($A$2:$A$301,A221)&gt;1,"归因记录ID重复",IF(OR(B221="",C221="",D221="",H221="",COUNT(E221:G221)&lt;3,I221="",Z221=""),"待补归因/证据/日期",IF(F221&lt;E221,"窗口起止错误",IF(COUNTIF('达人线索与合作'!$B$2:$B$301,B221)&lt;&gt;1,"合作ID未唯一匹配",IF(COUNTIFS($B$2:$B$301,B221,$C$2:$C$301,C221,$D$2:$D$301,D221,$E$2:$E$301,E221,$F$2:$F$301,F221)&gt;1,"窗口重复：应更新原行",IF(AND(AD221="是",COUNTIFS($B$2:$B$301,B221,$C$2:$C$301,C221,$D$2:$D$301,D221,$AD$2:$AD$301,"是")&gt;1),"重复汇总：同视频SKU仅选一行",IF(AND(AC221="已复盘",AD221="是",ISNUMBER(Y221),AE221&lt;&gt;""),"可汇总","观察中/未完成结算核对"))))))))</f>
        <v/>
      </c>
      <c r="AG221" s="9">
        <f>IF(C221="","",IF(OR(H221="",I221=""),"待补充",IF(COUNTIFS($C$2:$C$301,C221,$H$2:$H$301,H221,$I$2:$I$301,I221)&lt;&gt;COUNTIF($C$2:$C$301,C221),"请统一日期/负责人",IF(COUNTIF($C$2:C221,C221)=1,1,0))))</f>
        <v/>
      </c>
    </row>
    <row r="222" spans="25:33" ht="34" customHeight="1">
      <c r="Y222" s="10">
        <f>IF(A222="","",IF(COUNT(P222,R222:S222,U222:X222)&lt;7,"待补充",IF(MIN(P222,R222:S222,U222:X222)&lt;0,"检查输入",ROUND(P222-SUM(R222:S222)-SUM(U222:X222),4))))</f>
        <v/>
      </c>
      <c r="AF222" s="9">
        <f>IF(A222="","",IF(COUNTIF($A$2:$A$301,A222)&gt;1,"归因记录ID重复",IF(OR(B222="",C222="",D222="",H222="",COUNT(E222:G222)&lt;3,I222="",Z222=""),"待补归因/证据/日期",IF(F222&lt;E222,"窗口起止错误",IF(COUNTIF('达人线索与合作'!$B$2:$B$301,B222)&lt;&gt;1,"合作ID未唯一匹配",IF(COUNTIFS($B$2:$B$301,B222,$C$2:$C$301,C222,$D$2:$D$301,D222,$E$2:$E$301,E222,$F$2:$F$301,F222)&gt;1,"窗口重复：应更新原行",IF(AND(AD222="是",COUNTIFS($B$2:$B$301,B222,$C$2:$C$301,C222,$D$2:$D$301,D222,$AD$2:$AD$301,"是")&gt;1),"重复汇总：同视频SKU仅选一行",IF(AND(AC222="已复盘",AD222="是",ISNUMBER(Y222),AE222&lt;&gt;""),"可汇总","观察中/未完成结算核对"))))))))</f>
        <v/>
      </c>
      <c r="AG222" s="9">
        <f>IF(C222="","",IF(OR(H222="",I222=""),"待补充",IF(COUNTIFS($C$2:$C$301,C222,$H$2:$H$301,H222,$I$2:$I$301,I222)&lt;&gt;COUNTIF($C$2:$C$301,C222),"请统一日期/负责人",IF(COUNTIF($C$2:C222,C222)=1,1,0))))</f>
        <v/>
      </c>
    </row>
    <row r="223" spans="25:33" ht="34" customHeight="1">
      <c r="Y223" s="10">
        <f>IF(A223="","",IF(COUNT(P223,R223:S223,U223:X223)&lt;7,"待补充",IF(MIN(P223,R223:S223,U223:X223)&lt;0,"检查输入",ROUND(P223-SUM(R223:S223)-SUM(U223:X223),4))))</f>
        <v/>
      </c>
      <c r="AF223" s="9">
        <f>IF(A223="","",IF(COUNTIF($A$2:$A$301,A223)&gt;1,"归因记录ID重复",IF(OR(B223="",C223="",D223="",H223="",COUNT(E223:G223)&lt;3,I223="",Z223=""),"待补归因/证据/日期",IF(F223&lt;E223,"窗口起止错误",IF(COUNTIF('达人线索与合作'!$B$2:$B$301,B223)&lt;&gt;1,"合作ID未唯一匹配",IF(COUNTIFS($B$2:$B$301,B223,$C$2:$C$301,C223,$D$2:$D$301,D223,$E$2:$E$301,E223,$F$2:$F$301,F223)&gt;1,"窗口重复：应更新原行",IF(AND(AD223="是",COUNTIFS($B$2:$B$301,B223,$C$2:$C$301,C223,$D$2:$D$301,D223,$AD$2:$AD$301,"是")&gt;1),"重复汇总：同视频SKU仅选一行",IF(AND(AC223="已复盘",AD223="是",ISNUMBER(Y223),AE223&lt;&gt;""),"可汇总","观察中/未完成结算核对"))))))))</f>
        <v/>
      </c>
      <c r="AG223" s="9">
        <f>IF(C223="","",IF(OR(H223="",I223=""),"待补充",IF(COUNTIFS($C$2:$C$301,C223,$H$2:$H$301,H223,$I$2:$I$301,I223)&lt;&gt;COUNTIF($C$2:$C$301,C223),"请统一日期/负责人",IF(COUNTIF($C$2:C223,C223)=1,1,0))))</f>
        <v/>
      </c>
    </row>
    <row r="224" spans="25:33" ht="34" customHeight="1">
      <c r="Y224" s="10">
        <f>IF(A224="","",IF(COUNT(P224,R224:S224,U224:X224)&lt;7,"待补充",IF(MIN(P224,R224:S224,U224:X224)&lt;0,"检查输入",ROUND(P224-SUM(R224:S224)-SUM(U224:X224),4))))</f>
        <v/>
      </c>
      <c r="AF224" s="9">
        <f>IF(A224="","",IF(COUNTIF($A$2:$A$301,A224)&gt;1,"归因记录ID重复",IF(OR(B224="",C224="",D224="",H224="",COUNT(E224:G224)&lt;3,I224="",Z224=""),"待补归因/证据/日期",IF(F224&lt;E224,"窗口起止错误",IF(COUNTIF('达人线索与合作'!$B$2:$B$301,B224)&lt;&gt;1,"合作ID未唯一匹配",IF(COUNTIFS($B$2:$B$301,B224,$C$2:$C$301,C224,$D$2:$D$301,D224,$E$2:$E$301,E224,$F$2:$F$301,F224)&gt;1,"窗口重复：应更新原行",IF(AND(AD224="是",COUNTIFS($B$2:$B$301,B224,$C$2:$C$301,C224,$D$2:$D$301,D224,$AD$2:$AD$301,"是")&gt;1),"重复汇总：同视频SKU仅选一行",IF(AND(AC224="已复盘",AD224="是",ISNUMBER(Y224),AE224&lt;&gt;""),"可汇总","观察中/未完成结算核对"))))))))</f>
        <v/>
      </c>
      <c r="AG224" s="9">
        <f>IF(C224="","",IF(OR(H224="",I224=""),"待补充",IF(COUNTIFS($C$2:$C$301,C224,$H$2:$H$301,H224,$I$2:$I$301,I224)&lt;&gt;COUNTIF($C$2:$C$301,C224),"请统一日期/负责人",IF(COUNTIF($C$2:C224,C224)=1,1,0))))</f>
        <v/>
      </c>
    </row>
    <row r="225" spans="25:33" ht="34" customHeight="1">
      <c r="Y225" s="10">
        <f>IF(A225="","",IF(COUNT(P225,R225:S225,U225:X225)&lt;7,"待补充",IF(MIN(P225,R225:S225,U225:X225)&lt;0,"检查输入",ROUND(P225-SUM(R225:S225)-SUM(U225:X225),4))))</f>
        <v/>
      </c>
      <c r="AF225" s="9">
        <f>IF(A225="","",IF(COUNTIF($A$2:$A$301,A225)&gt;1,"归因记录ID重复",IF(OR(B225="",C225="",D225="",H225="",COUNT(E225:G225)&lt;3,I225="",Z225=""),"待补归因/证据/日期",IF(F225&lt;E225,"窗口起止错误",IF(COUNTIF('达人线索与合作'!$B$2:$B$301,B225)&lt;&gt;1,"合作ID未唯一匹配",IF(COUNTIFS($B$2:$B$301,B225,$C$2:$C$301,C225,$D$2:$D$301,D225,$E$2:$E$301,E225,$F$2:$F$301,F225)&gt;1,"窗口重复：应更新原行",IF(AND(AD225="是",COUNTIFS($B$2:$B$301,B225,$C$2:$C$301,C225,$D$2:$D$301,D225,$AD$2:$AD$301,"是")&gt;1),"重复汇总：同视频SKU仅选一行",IF(AND(AC225="已复盘",AD225="是",ISNUMBER(Y225),AE225&lt;&gt;""),"可汇总","观察中/未完成结算核对"))))))))</f>
        <v/>
      </c>
      <c r="AG225" s="9">
        <f>IF(C225="","",IF(OR(H225="",I225=""),"待补充",IF(COUNTIFS($C$2:$C$301,C225,$H$2:$H$301,H225,$I$2:$I$301,I225)&lt;&gt;COUNTIF($C$2:$C$301,C225),"请统一日期/负责人",IF(COUNTIF($C$2:C225,C225)=1,1,0))))</f>
        <v/>
      </c>
    </row>
    <row r="226" spans="25:33" ht="34" customHeight="1">
      <c r="Y226" s="10">
        <f>IF(A226="","",IF(COUNT(P226,R226:S226,U226:X226)&lt;7,"待补充",IF(MIN(P226,R226:S226,U226:X226)&lt;0,"检查输入",ROUND(P226-SUM(R226:S226)-SUM(U226:X226),4))))</f>
        <v/>
      </c>
      <c r="AF226" s="9">
        <f>IF(A226="","",IF(COUNTIF($A$2:$A$301,A226)&gt;1,"归因记录ID重复",IF(OR(B226="",C226="",D226="",H226="",COUNT(E226:G226)&lt;3,I226="",Z226=""),"待补归因/证据/日期",IF(F226&lt;E226,"窗口起止错误",IF(COUNTIF('达人线索与合作'!$B$2:$B$301,B226)&lt;&gt;1,"合作ID未唯一匹配",IF(COUNTIFS($B$2:$B$301,B226,$C$2:$C$301,C226,$D$2:$D$301,D226,$E$2:$E$301,E226,$F$2:$F$301,F226)&gt;1,"窗口重复：应更新原行",IF(AND(AD226="是",COUNTIFS($B$2:$B$301,B226,$C$2:$C$301,C226,$D$2:$D$301,D226,$AD$2:$AD$301,"是")&gt;1),"重复汇总：同视频SKU仅选一行",IF(AND(AC226="已复盘",AD226="是",ISNUMBER(Y226),AE226&lt;&gt;""),"可汇总","观察中/未完成结算核对"))))))))</f>
        <v/>
      </c>
      <c r="AG226" s="9">
        <f>IF(C226="","",IF(OR(H226="",I226=""),"待补充",IF(COUNTIFS($C$2:$C$301,C226,$H$2:$H$301,H226,$I$2:$I$301,I226)&lt;&gt;COUNTIF($C$2:$C$301,C226),"请统一日期/负责人",IF(COUNTIF($C$2:C226,C226)=1,1,0))))</f>
        <v/>
      </c>
    </row>
    <row r="227" spans="25:33" ht="34" customHeight="1">
      <c r="Y227" s="10">
        <f>IF(A227="","",IF(COUNT(P227,R227:S227,U227:X227)&lt;7,"待补充",IF(MIN(P227,R227:S227,U227:X227)&lt;0,"检查输入",ROUND(P227-SUM(R227:S227)-SUM(U227:X227),4))))</f>
        <v/>
      </c>
      <c r="AF227" s="9">
        <f>IF(A227="","",IF(COUNTIF($A$2:$A$301,A227)&gt;1,"归因记录ID重复",IF(OR(B227="",C227="",D227="",H227="",COUNT(E227:G227)&lt;3,I227="",Z227=""),"待补归因/证据/日期",IF(F227&lt;E227,"窗口起止错误",IF(COUNTIF('达人线索与合作'!$B$2:$B$301,B227)&lt;&gt;1,"合作ID未唯一匹配",IF(COUNTIFS($B$2:$B$301,B227,$C$2:$C$301,C227,$D$2:$D$301,D227,$E$2:$E$301,E227,$F$2:$F$301,F227)&gt;1,"窗口重复：应更新原行",IF(AND(AD227="是",COUNTIFS($B$2:$B$301,B227,$C$2:$C$301,C227,$D$2:$D$301,D227,$AD$2:$AD$301,"是")&gt;1),"重复汇总：同视频SKU仅选一行",IF(AND(AC227="已复盘",AD227="是",ISNUMBER(Y227),AE227&lt;&gt;""),"可汇总","观察中/未完成结算核对"))))))))</f>
        <v/>
      </c>
      <c r="AG227" s="9">
        <f>IF(C227="","",IF(OR(H227="",I227=""),"待补充",IF(COUNTIFS($C$2:$C$301,C227,$H$2:$H$301,H227,$I$2:$I$301,I227)&lt;&gt;COUNTIF($C$2:$C$301,C227),"请统一日期/负责人",IF(COUNTIF($C$2:C227,C227)=1,1,0))))</f>
        <v/>
      </c>
    </row>
    <row r="228" spans="25:33" ht="34" customHeight="1">
      <c r="Y228" s="10">
        <f>IF(A228="","",IF(COUNT(P228,R228:S228,U228:X228)&lt;7,"待补充",IF(MIN(P228,R228:S228,U228:X228)&lt;0,"检查输入",ROUND(P228-SUM(R228:S228)-SUM(U228:X228),4))))</f>
        <v/>
      </c>
      <c r="AF228" s="9">
        <f>IF(A228="","",IF(COUNTIF($A$2:$A$301,A228)&gt;1,"归因记录ID重复",IF(OR(B228="",C228="",D228="",H228="",COUNT(E228:G228)&lt;3,I228="",Z228=""),"待补归因/证据/日期",IF(F228&lt;E228,"窗口起止错误",IF(COUNTIF('达人线索与合作'!$B$2:$B$301,B228)&lt;&gt;1,"合作ID未唯一匹配",IF(COUNTIFS($B$2:$B$301,B228,$C$2:$C$301,C228,$D$2:$D$301,D228,$E$2:$E$301,E228,$F$2:$F$301,F228)&gt;1,"窗口重复：应更新原行",IF(AND(AD228="是",COUNTIFS($B$2:$B$301,B228,$C$2:$C$301,C228,$D$2:$D$301,D228,$AD$2:$AD$301,"是")&gt;1),"重复汇总：同视频SKU仅选一行",IF(AND(AC228="已复盘",AD228="是",ISNUMBER(Y228),AE228&lt;&gt;""),"可汇总","观察中/未完成结算核对"))))))))</f>
        <v/>
      </c>
      <c r="AG228" s="9">
        <f>IF(C228="","",IF(OR(H228="",I228=""),"待补充",IF(COUNTIFS($C$2:$C$301,C228,$H$2:$H$301,H228,$I$2:$I$301,I228)&lt;&gt;COUNTIF($C$2:$C$301,C228),"请统一日期/负责人",IF(COUNTIF($C$2:C228,C228)=1,1,0))))</f>
        <v/>
      </c>
    </row>
    <row r="229" spans="25:33" ht="34" customHeight="1">
      <c r="Y229" s="10">
        <f>IF(A229="","",IF(COUNT(P229,R229:S229,U229:X229)&lt;7,"待补充",IF(MIN(P229,R229:S229,U229:X229)&lt;0,"检查输入",ROUND(P229-SUM(R229:S229)-SUM(U229:X229),4))))</f>
        <v/>
      </c>
      <c r="AF229" s="9">
        <f>IF(A229="","",IF(COUNTIF($A$2:$A$301,A229)&gt;1,"归因记录ID重复",IF(OR(B229="",C229="",D229="",H229="",COUNT(E229:G229)&lt;3,I229="",Z229=""),"待补归因/证据/日期",IF(F229&lt;E229,"窗口起止错误",IF(COUNTIF('达人线索与合作'!$B$2:$B$301,B229)&lt;&gt;1,"合作ID未唯一匹配",IF(COUNTIFS($B$2:$B$301,B229,$C$2:$C$301,C229,$D$2:$D$301,D229,$E$2:$E$301,E229,$F$2:$F$301,F229)&gt;1,"窗口重复：应更新原行",IF(AND(AD229="是",COUNTIFS($B$2:$B$301,B229,$C$2:$C$301,C229,$D$2:$D$301,D229,$AD$2:$AD$301,"是")&gt;1),"重复汇总：同视频SKU仅选一行",IF(AND(AC229="已复盘",AD229="是",ISNUMBER(Y229),AE229&lt;&gt;""),"可汇总","观察中/未完成结算核对"))))))))</f>
        <v/>
      </c>
      <c r="AG229" s="9">
        <f>IF(C229="","",IF(OR(H229="",I229=""),"待补充",IF(COUNTIFS($C$2:$C$301,C229,$H$2:$H$301,H229,$I$2:$I$301,I229)&lt;&gt;COUNTIF($C$2:$C$301,C229),"请统一日期/负责人",IF(COUNTIF($C$2:C229,C229)=1,1,0))))</f>
        <v/>
      </c>
    </row>
    <row r="230" spans="25:33" ht="34" customHeight="1">
      <c r="Y230" s="10">
        <f>IF(A230="","",IF(COUNT(P230,R230:S230,U230:X230)&lt;7,"待补充",IF(MIN(P230,R230:S230,U230:X230)&lt;0,"检查输入",ROUND(P230-SUM(R230:S230)-SUM(U230:X230),4))))</f>
        <v/>
      </c>
      <c r="AF230" s="9">
        <f>IF(A230="","",IF(COUNTIF($A$2:$A$301,A230)&gt;1,"归因记录ID重复",IF(OR(B230="",C230="",D230="",H230="",COUNT(E230:G230)&lt;3,I230="",Z230=""),"待补归因/证据/日期",IF(F230&lt;E230,"窗口起止错误",IF(COUNTIF('达人线索与合作'!$B$2:$B$301,B230)&lt;&gt;1,"合作ID未唯一匹配",IF(COUNTIFS($B$2:$B$301,B230,$C$2:$C$301,C230,$D$2:$D$301,D230,$E$2:$E$301,E230,$F$2:$F$301,F230)&gt;1,"窗口重复：应更新原行",IF(AND(AD230="是",COUNTIFS($B$2:$B$301,B230,$C$2:$C$301,C230,$D$2:$D$301,D230,$AD$2:$AD$301,"是")&gt;1),"重复汇总：同视频SKU仅选一行",IF(AND(AC230="已复盘",AD230="是",ISNUMBER(Y230),AE230&lt;&gt;""),"可汇总","观察中/未完成结算核对"))))))))</f>
        <v/>
      </c>
      <c r="AG230" s="9">
        <f>IF(C230="","",IF(OR(H230="",I230=""),"待补充",IF(COUNTIFS($C$2:$C$301,C230,$H$2:$H$301,H230,$I$2:$I$301,I230)&lt;&gt;COUNTIF($C$2:$C$301,C230),"请统一日期/负责人",IF(COUNTIF($C$2:C230,C230)=1,1,0))))</f>
        <v/>
      </c>
    </row>
    <row r="231" spans="25:33" ht="34" customHeight="1">
      <c r="Y231" s="10">
        <f>IF(A231="","",IF(COUNT(P231,R231:S231,U231:X231)&lt;7,"待补充",IF(MIN(P231,R231:S231,U231:X231)&lt;0,"检查输入",ROUND(P231-SUM(R231:S231)-SUM(U231:X231),4))))</f>
        <v/>
      </c>
      <c r="AF231" s="9">
        <f>IF(A231="","",IF(COUNTIF($A$2:$A$301,A231)&gt;1,"归因记录ID重复",IF(OR(B231="",C231="",D231="",H231="",COUNT(E231:G231)&lt;3,I231="",Z231=""),"待补归因/证据/日期",IF(F231&lt;E231,"窗口起止错误",IF(COUNTIF('达人线索与合作'!$B$2:$B$301,B231)&lt;&gt;1,"合作ID未唯一匹配",IF(COUNTIFS($B$2:$B$301,B231,$C$2:$C$301,C231,$D$2:$D$301,D231,$E$2:$E$301,E231,$F$2:$F$301,F231)&gt;1,"窗口重复：应更新原行",IF(AND(AD231="是",COUNTIFS($B$2:$B$301,B231,$C$2:$C$301,C231,$D$2:$D$301,D231,$AD$2:$AD$301,"是")&gt;1),"重复汇总：同视频SKU仅选一行",IF(AND(AC231="已复盘",AD231="是",ISNUMBER(Y231),AE231&lt;&gt;""),"可汇总","观察中/未完成结算核对"))))))))</f>
        <v/>
      </c>
      <c r="AG231" s="9">
        <f>IF(C231="","",IF(OR(H231="",I231=""),"待补充",IF(COUNTIFS($C$2:$C$301,C231,$H$2:$H$301,H231,$I$2:$I$301,I231)&lt;&gt;COUNTIF($C$2:$C$301,C231),"请统一日期/负责人",IF(COUNTIF($C$2:C231,C231)=1,1,0))))</f>
        <v/>
      </c>
    </row>
    <row r="232" spans="25:33" ht="34" customHeight="1">
      <c r="Y232" s="10">
        <f>IF(A232="","",IF(COUNT(P232,R232:S232,U232:X232)&lt;7,"待补充",IF(MIN(P232,R232:S232,U232:X232)&lt;0,"检查输入",ROUND(P232-SUM(R232:S232)-SUM(U232:X232),4))))</f>
        <v/>
      </c>
      <c r="AF232" s="9">
        <f>IF(A232="","",IF(COUNTIF($A$2:$A$301,A232)&gt;1,"归因记录ID重复",IF(OR(B232="",C232="",D232="",H232="",COUNT(E232:G232)&lt;3,I232="",Z232=""),"待补归因/证据/日期",IF(F232&lt;E232,"窗口起止错误",IF(COUNTIF('达人线索与合作'!$B$2:$B$301,B232)&lt;&gt;1,"合作ID未唯一匹配",IF(COUNTIFS($B$2:$B$301,B232,$C$2:$C$301,C232,$D$2:$D$301,D232,$E$2:$E$301,E232,$F$2:$F$301,F232)&gt;1,"窗口重复：应更新原行",IF(AND(AD232="是",COUNTIFS($B$2:$B$301,B232,$C$2:$C$301,C232,$D$2:$D$301,D232,$AD$2:$AD$301,"是")&gt;1),"重复汇总：同视频SKU仅选一行",IF(AND(AC232="已复盘",AD232="是",ISNUMBER(Y232),AE232&lt;&gt;""),"可汇总","观察中/未完成结算核对"))))))))</f>
        <v/>
      </c>
      <c r="AG232" s="9">
        <f>IF(C232="","",IF(OR(H232="",I232=""),"待补充",IF(COUNTIFS($C$2:$C$301,C232,$H$2:$H$301,H232,$I$2:$I$301,I232)&lt;&gt;COUNTIF($C$2:$C$301,C232),"请统一日期/负责人",IF(COUNTIF($C$2:C232,C232)=1,1,0))))</f>
        <v/>
      </c>
    </row>
    <row r="233" spans="25:33" ht="34" customHeight="1">
      <c r="Y233" s="10">
        <f>IF(A233="","",IF(COUNT(P233,R233:S233,U233:X233)&lt;7,"待补充",IF(MIN(P233,R233:S233,U233:X233)&lt;0,"检查输入",ROUND(P233-SUM(R233:S233)-SUM(U233:X233),4))))</f>
        <v/>
      </c>
      <c r="AF233" s="9">
        <f>IF(A233="","",IF(COUNTIF($A$2:$A$301,A233)&gt;1,"归因记录ID重复",IF(OR(B233="",C233="",D233="",H233="",COUNT(E233:G233)&lt;3,I233="",Z233=""),"待补归因/证据/日期",IF(F233&lt;E233,"窗口起止错误",IF(COUNTIF('达人线索与合作'!$B$2:$B$301,B233)&lt;&gt;1,"合作ID未唯一匹配",IF(COUNTIFS($B$2:$B$301,B233,$C$2:$C$301,C233,$D$2:$D$301,D233,$E$2:$E$301,E233,$F$2:$F$301,F233)&gt;1,"窗口重复：应更新原行",IF(AND(AD233="是",COUNTIFS($B$2:$B$301,B233,$C$2:$C$301,C233,$D$2:$D$301,D233,$AD$2:$AD$301,"是")&gt;1),"重复汇总：同视频SKU仅选一行",IF(AND(AC233="已复盘",AD233="是",ISNUMBER(Y233),AE233&lt;&gt;""),"可汇总","观察中/未完成结算核对"))))))))</f>
        <v/>
      </c>
      <c r="AG233" s="9">
        <f>IF(C233="","",IF(OR(H233="",I233=""),"待补充",IF(COUNTIFS($C$2:$C$301,C233,$H$2:$H$301,H233,$I$2:$I$301,I233)&lt;&gt;COUNTIF($C$2:$C$301,C233),"请统一日期/负责人",IF(COUNTIF($C$2:C233,C233)=1,1,0))))</f>
        <v/>
      </c>
    </row>
    <row r="234" spans="25:33" ht="34" customHeight="1">
      <c r="Y234" s="10">
        <f>IF(A234="","",IF(COUNT(P234,R234:S234,U234:X234)&lt;7,"待补充",IF(MIN(P234,R234:S234,U234:X234)&lt;0,"检查输入",ROUND(P234-SUM(R234:S234)-SUM(U234:X234),4))))</f>
        <v/>
      </c>
      <c r="AF234" s="9">
        <f>IF(A234="","",IF(COUNTIF($A$2:$A$301,A234)&gt;1,"归因记录ID重复",IF(OR(B234="",C234="",D234="",H234="",COUNT(E234:G234)&lt;3,I234="",Z234=""),"待补归因/证据/日期",IF(F234&lt;E234,"窗口起止错误",IF(COUNTIF('达人线索与合作'!$B$2:$B$301,B234)&lt;&gt;1,"合作ID未唯一匹配",IF(COUNTIFS($B$2:$B$301,B234,$C$2:$C$301,C234,$D$2:$D$301,D234,$E$2:$E$301,E234,$F$2:$F$301,F234)&gt;1,"窗口重复：应更新原行",IF(AND(AD234="是",COUNTIFS($B$2:$B$301,B234,$C$2:$C$301,C234,$D$2:$D$301,D234,$AD$2:$AD$301,"是")&gt;1),"重复汇总：同视频SKU仅选一行",IF(AND(AC234="已复盘",AD234="是",ISNUMBER(Y234),AE234&lt;&gt;""),"可汇总","观察中/未完成结算核对"))))))))</f>
        <v/>
      </c>
      <c r="AG234" s="9">
        <f>IF(C234="","",IF(OR(H234="",I234=""),"待补充",IF(COUNTIFS($C$2:$C$301,C234,$H$2:$H$301,H234,$I$2:$I$301,I234)&lt;&gt;COUNTIF($C$2:$C$301,C234),"请统一日期/负责人",IF(COUNTIF($C$2:C234,C234)=1,1,0))))</f>
        <v/>
      </c>
    </row>
    <row r="235" spans="25:33" ht="34" customHeight="1">
      <c r="Y235" s="10">
        <f>IF(A235="","",IF(COUNT(P235,R235:S235,U235:X235)&lt;7,"待补充",IF(MIN(P235,R235:S235,U235:X235)&lt;0,"检查输入",ROUND(P235-SUM(R235:S235)-SUM(U235:X235),4))))</f>
        <v/>
      </c>
      <c r="AF235" s="9">
        <f>IF(A235="","",IF(COUNTIF($A$2:$A$301,A235)&gt;1,"归因记录ID重复",IF(OR(B235="",C235="",D235="",H235="",COUNT(E235:G235)&lt;3,I235="",Z235=""),"待补归因/证据/日期",IF(F235&lt;E235,"窗口起止错误",IF(COUNTIF('达人线索与合作'!$B$2:$B$301,B235)&lt;&gt;1,"合作ID未唯一匹配",IF(COUNTIFS($B$2:$B$301,B235,$C$2:$C$301,C235,$D$2:$D$301,D235,$E$2:$E$301,E235,$F$2:$F$301,F235)&gt;1,"窗口重复：应更新原行",IF(AND(AD235="是",COUNTIFS($B$2:$B$301,B235,$C$2:$C$301,C235,$D$2:$D$301,D235,$AD$2:$AD$301,"是")&gt;1),"重复汇总：同视频SKU仅选一行",IF(AND(AC235="已复盘",AD235="是",ISNUMBER(Y235),AE235&lt;&gt;""),"可汇总","观察中/未完成结算核对"))))))))</f>
        <v/>
      </c>
      <c r="AG235" s="9">
        <f>IF(C235="","",IF(OR(H235="",I235=""),"待补充",IF(COUNTIFS($C$2:$C$301,C235,$H$2:$H$301,H235,$I$2:$I$301,I235)&lt;&gt;COUNTIF($C$2:$C$301,C235),"请统一日期/负责人",IF(COUNTIF($C$2:C235,C235)=1,1,0))))</f>
        <v/>
      </c>
    </row>
    <row r="236" spans="25:33" ht="34" customHeight="1">
      <c r="Y236" s="10">
        <f>IF(A236="","",IF(COUNT(P236,R236:S236,U236:X236)&lt;7,"待补充",IF(MIN(P236,R236:S236,U236:X236)&lt;0,"检查输入",ROUND(P236-SUM(R236:S236)-SUM(U236:X236),4))))</f>
        <v/>
      </c>
      <c r="AF236" s="9">
        <f>IF(A236="","",IF(COUNTIF($A$2:$A$301,A236)&gt;1,"归因记录ID重复",IF(OR(B236="",C236="",D236="",H236="",COUNT(E236:G236)&lt;3,I236="",Z236=""),"待补归因/证据/日期",IF(F236&lt;E236,"窗口起止错误",IF(COUNTIF('达人线索与合作'!$B$2:$B$301,B236)&lt;&gt;1,"合作ID未唯一匹配",IF(COUNTIFS($B$2:$B$301,B236,$C$2:$C$301,C236,$D$2:$D$301,D236,$E$2:$E$301,E236,$F$2:$F$301,F236)&gt;1,"窗口重复：应更新原行",IF(AND(AD236="是",COUNTIFS($B$2:$B$301,B236,$C$2:$C$301,C236,$D$2:$D$301,D236,$AD$2:$AD$301,"是")&gt;1),"重复汇总：同视频SKU仅选一行",IF(AND(AC236="已复盘",AD236="是",ISNUMBER(Y236),AE236&lt;&gt;""),"可汇总","观察中/未完成结算核对"))))))))</f>
        <v/>
      </c>
      <c r="AG236" s="9">
        <f>IF(C236="","",IF(OR(H236="",I236=""),"待补充",IF(COUNTIFS($C$2:$C$301,C236,$H$2:$H$301,H236,$I$2:$I$301,I236)&lt;&gt;COUNTIF($C$2:$C$301,C236),"请统一日期/负责人",IF(COUNTIF($C$2:C236,C236)=1,1,0))))</f>
        <v/>
      </c>
    </row>
    <row r="237" spans="25:33" ht="34" customHeight="1">
      <c r="Y237" s="10">
        <f>IF(A237="","",IF(COUNT(P237,R237:S237,U237:X237)&lt;7,"待补充",IF(MIN(P237,R237:S237,U237:X237)&lt;0,"检查输入",ROUND(P237-SUM(R237:S237)-SUM(U237:X237),4))))</f>
        <v/>
      </c>
      <c r="AF237" s="9">
        <f>IF(A237="","",IF(COUNTIF($A$2:$A$301,A237)&gt;1,"归因记录ID重复",IF(OR(B237="",C237="",D237="",H237="",COUNT(E237:G237)&lt;3,I237="",Z237=""),"待补归因/证据/日期",IF(F237&lt;E237,"窗口起止错误",IF(COUNTIF('达人线索与合作'!$B$2:$B$301,B237)&lt;&gt;1,"合作ID未唯一匹配",IF(COUNTIFS($B$2:$B$301,B237,$C$2:$C$301,C237,$D$2:$D$301,D237,$E$2:$E$301,E237,$F$2:$F$301,F237)&gt;1,"窗口重复：应更新原行",IF(AND(AD237="是",COUNTIFS($B$2:$B$301,B237,$C$2:$C$301,C237,$D$2:$D$301,D237,$AD$2:$AD$301,"是")&gt;1),"重复汇总：同视频SKU仅选一行",IF(AND(AC237="已复盘",AD237="是",ISNUMBER(Y237),AE237&lt;&gt;""),"可汇总","观察中/未完成结算核对"))))))))</f>
        <v/>
      </c>
      <c r="AG237" s="9">
        <f>IF(C237="","",IF(OR(H237="",I237=""),"待补充",IF(COUNTIFS($C$2:$C$301,C237,$H$2:$H$301,H237,$I$2:$I$301,I237)&lt;&gt;COUNTIF($C$2:$C$301,C237),"请统一日期/负责人",IF(COUNTIF($C$2:C237,C237)=1,1,0))))</f>
        <v/>
      </c>
    </row>
    <row r="238" spans="25:33" ht="34" customHeight="1">
      <c r="Y238" s="10">
        <f>IF(A238="","",IF(COUNT(P238,R238:S238,U238:X238)&lt;7,"待补充",IF(MIN(P238,R238:S238,U238:X238)&lt;0,"检查输入",ROUND(P238-SUM(R238:S238)-SUM(U238:X238),4))))</f>
        <v/>
      </c>
      <c r="AF238" s="9">
        <f>IF(A238="","",IF(COUNTIF($A$2:$A$301,A238)&gt;1,"归因记录ID重复",IF(OR(B238="",C238="",D238="",H238="",COUNT(E238:G238)&lt;3,I238="",Z238=""),"待补归因/证据/日期",IF(F238&lt;E238,"窗口起止错误",IF(COUNTIF('达人线索与合作'!$B$2:$B$301,B238)&lt;&gt;1,"合作ID未唯一匹配",IF(COUNTIFS($B$2:$B$301,B238,$C$2:$C$301,C238,$D$2:$D$301,D238,$E$2:$E$301,E238,$F$2:$F$301,F238)&gt;1,"窗口重复：应更新原行",IF(AND(AD238="是",COUNTIFS($B$2:$B$301,B238,$C$2:$C$301,C238,$D$2:$D$301,D238,$AD$2:$AD$301,"是")&gt;1),"重复汇总：同视频SKU仅选一行",IF(AND(AC238="已复盘",AD238="是",ISNUMBER(Y238),AE238&lt;&gt;""),"可汇总","观察中/未完成结算核对"))))))))</f>
        <v/>
      </c>
      <c r="AG238" s="9">
        <f>IF(C238="","",IF(OR(H238="",I238=""),"待补充",IF(COUNTIFS($C$2:$C$301,C238,$H$2:$H$301,H238,$I$2:$I$301,I238)&lt;&gt;COUNTIF($C$2:$C$301,C238),"请统一日期/负责人",IF(COUNTIF($C$2:C238,C238)=1,1,0))))</f>
        <v/>
      </c>
    </row>
    <row r="239" spans="25:33" ht="34" customHeight="1">
      <c r="Y239" s="10">
        <f>IF(A239="","",IF(COUNT(P239,R239:S239,U239:X239)&lt;7,"待补充",IF(MIN(P239,R239:S239,U239:X239)&lt;0,"检查输入",ROUND(P239-SUM(R239:S239)-SUM(U239:X239),4))))</f>
        <v/>
      </c>
      <c r="AF239" s="9">
        <f>IF(A239="","",IF(COUNTIF($A$2:$A$301,A239)&gt;1,"归因记录ID重复",IF(OR(B239="",C239="",D239="",H239="",COUNT(E239:G239)&lt;3,I239="",Z239=""),"待补归因/证据/日期",IF(F239&lt;E239,"窗口起止错误",IF(COUNTIF('达人线索与合作'!$B$2:$B$301,B239)&lt;&gt;1,"合作ID未唯一匹配",IF(COUNTIFS($B$2:$B$301,B239,$C$2:$C$301,C239,$D$2:$D$301,D239,$E$2:$E$301,E239,$F$2:$F$301,F239)&gt;1,"窗口重复：应更新原行",IF(AND(AD239="是",COUNTIFS($B$2:$B$301,B239,$C$2:$C$301,C239,$D$2:$D$301,D239,$AD$2:$AD$301,"是")&gt;1),"重复汇总：同视频SKU仅选一行",IF(AND(AC239="已复盘",AD239="是",ISNUMBER(Y239),AE239&lt;&gt;""),"可汇总","观察中/未完成结算核对"))))))))</f>
        <v/>
      </c>
      <c r="AG239" s="9">
        <f>IF(C239="","",IF(OR(H239="",I239=""),"待补充",IF(COUNTIFS($C$2:$C$301,C239,$H$2:$H$301,H239,$I$2:$I$301,I239)&lt;&gt;COUNTIF($C$2:$C$301,C239),"请统一日期/负责人",IF(COUNTIF($C$2:C239,C239)=1,1,0))))</f>
        <v/>
      </c>
    </row>
    <row r="240" spans="25:33" ht="34" customHeight="1">
      <c r="Y240" s="10">
        <f>IF(A240="","",IF(COUNT(P240,R240:S240,U240:X240)&lt;7,"待补充",IF(MIN(P240,R240:S240,U240:X240)&lt;0,"检查输入",ROUND(P240-SUM(R240:S240)-SUM(U240:X240),4))))</f>
        <v/>
      </c>
      <c r="AF240" s="9">
        <f>IF(A240="","",IF(COUNTIF($A$2:$A$301,A240)&gt;1,"归因记录ID重复",IF(OR(B240="",C240="",D240="",H240="",COUNT(E240:G240)&lt;3,I240="",Z240=""),"待补归因/证据/日期",IF(F240&lt;E240,"窗口起止错误",IF(COUNTIF('达人线索与合作'!$B$2:$B$301,B240)&lt;&gt;1,"合作ID未唯一匹配",IF(COUNTIFS($B$2:$B$301,B240,$C$2:$C$301,C240,$D$2:$D$301,D240,$E$2:$E$301,E240,$F$2:$F$301,F240)&gt;1,"窗口重复：应更新原行",IF(AND(AD240="是",COUNTIFS($B$2:$B$301,B240,$C$2:$C$301,C240,$D$2:$D$301,D240,$AD$2:$AD$301,"是")&gt;1),"重复汇总：同视频SKU仅选一行",IF(AND(AC240="已复盘",AD240="是",ISNUMBER(Y240),AE240&lt;&gt;""),"可汇总","观察中/未完成结算核对"))))))))</f>
        <v/>
      </c>
      <c r="AG240" s="9">
        <f>IF(C240="","",IF(OR(H240="",I240=""),"待补充",IF(COUNTIFS($C$2:$C$301,C240,$H$2:$H$301,H240,$I$2:$I$301,I240)&lt;&gt;COUNTIF($C$2:$C$301,C240),"请统一日期/负责人",IF(COUNTIF($C$2:C240,C240)=1,1,0))))</f>
        <v/>
      </c>
    </row>
    <row r="241" spans="25:33" ht="34" customHeight="1">
      <c r="Y241" s="10">
        <f>IF(A241="","",IF(COUNT(P241,R241:S241,U241:X241)&lt;7,"待补充",IF(MIN(P241,R241:S241,U241:X241)&lt;0,"检查输入",ROUND(P241-SUM(R241:S241)-SUM(U241:X241),4))))</f>
        <v/>
      </c>
      <c r="AF241" s="9">
        <f>IF(A241="","",IF(COUNTIF($A$2:$A$301,A241)&gt;1,"归因记录ID重复",IF(OR(B241="",C241="",D241="",H241="",COUNT(E241:G241)&lt;3,I241="",Z241=""),"待补归因/证据/日期",IF(F241&lt;E241,"窗口起止错误",IF(COUNTIF('达人线索与合作'!$B$2:$B$301,B241)&lt;&gt;1,"合作ID未唯一匹配",IF(COUNTIFS($B$2:$B$301,B241,$C$2:$C$301,C241,$D$2:$D$301,D241,$E$2:$E$301,E241,$F$2:$F$301,F241)&gt;1,"窗口重复：应更新原行",IF(AND(AD241="是",COUNTIFS($B$2:$B$301,B241,$C$2:$C$301,C241,$D$2:$D$301,D241,$AD$2:$AD$301,"是")&gt;1),"重复汇总：同视频SKU仅选一行",IF(AND(AC241="已复盘",AD241="是",ISNUMBER(Y241),AE241&lt;&gt;""),"可汇总","观察中/未完成结算核对"))))))))</f>
        <v/>
      </c>
      <c r="AG241" s="9">
        <f>IF(C241="","",IF(OR(H241="",I241=""),"待补充",IF(COUNTIFS($C$2:$C$301,C241,$H$2:$H$301,H241,$I$2:$I$301,I241)&lt;&gt;COUNTIF($C$2:$C$301,C241),"请统一日期/负责人",IF(COUNTIF($C$2:C241,C241)=1,1,0))))</f>
        <v/>
      </c>
    </row>
    <row r="242" spans="25:33" ht="34" customHeight="1">
      <c r="Y242" s="10">
        <f>IF(A242="","",IF(COUNT(P242,R242:S242,U242:X242)&lt;7,"待补充",IF(MIN(P242,R242:S242,U242:X242)&lt;0,"检查输入",ROUND(P242-SUM(R242:S242)-SUM(U242:X242),4))))</f>
        <v/>
      </c>
      <c r="AF242" s="9">
        <f>IF(A242="","",IF(COUNTIF($A$2:$A$301,A242)&gt;1,"归因记录ID重复",IF(OR(B242="",C242="",D242="",H242="",COUNT(E242:G242)&lt;3,I242="",Z242=""),"待补归因/证据/日期",IF(F242&lt;E242,"窗口起止错误",IF(COUNTIF('达人线索与合作'!$B$2:$B$301,B242)&lt;&gt;1,"合作ID未唯一匹配",IF(COUNTIFS($B$2:$B$301,B242,$C$2:$C$301,C242,$D$2:$D$301,D242,$E$2:$E$301,E242,$F$2:$F$301,F242)&gt;1,"窗口重复：应更新原行",IF(AND(AD242="是",COUNTIFS($B$2:$B$301,B242,$C$2:$C$301,C242,$D$2:$D$301,D242,$AD$2:$AD$301,"是")&gt;1),"重复汇总：同视频SKU仅选一行",IF(AND(AC242="已复盘",AD242="是",ISNUMBER(Y242),AE242&lt;&gt;""),"可汇总","观察中/未完成结算核对"))))))))</f>
        <v/>
      </c>
      <c r="AG242" s="9">
        <f>IF(C242="","",IF(OR(H242="",I242=""),"待补充",IF(COUNTIFS($C$2:$C$301,C242,$H$2:$H$301,H242,$I$2:$I$301,I242)&lt;&gt;COUNTIF($C$2:$C$301,C242),"请统一日期/负责人",IF(COUNTIF($C$2:C242,C242)=1,1,0))))</f>
        <v/>
      </c>
    </row>
    <row r="243" spans="25:33" ht="34" customHeight="1">
      <c r="Y243" s="10">
        <f>IF(A243="","",IF(COUNT(P243,R243:S243,U243:X243)&lt;7,"待补充",IF(MIN(P243,R243:S243,U243:X243)&lt;0,"检查输入",ROUND(P243-SUM(R243:S243)-SUM(U243:X243),4))))</f>
        <v/>
      </c>
      <c r="AF243" s="9">
        <f>IF(A243="","",IF(COUNTIF($A$2:$A$301,A243)&gt;1,"归因记录ID重复",IF(OR(B243="",C243="",D243="",H243="",COUNT(E243:G243)&lt;3,I243="",Z243=""),"待补归因/证据/日期",IF(F243&lt;E243,"窗口起止错误",IF(COUNTIF('达人线索与合作'!$B$2:$B$301,B243)&lt;&gt;1,"合作ID未唯一匹配",IF(COUNTIFS($B$2:$B$301,B243,$C$2:$C$301,C243,$D$2:$D$301,D243,$E$2:$E$301,E243,$F$2:$F$301,F243)&gt;1,"窗口重复：应更新原行",IF(AND(AD243="是",COUNTIFS($B$2:$B$301,B243,$C$2:$C$301,C243,$D$2:$D$301,D243,$AD$2:$AD$301,"是")&gt;1),"重复汇总：同视频SKU仅选一行",IF(AND(AC243="已复盘",AD243="是",ISNUMBER(Y243),AE243&lt;&gt;""),"可汇总","观察中/未完成结算核对"))))))))</f>
        <v/>
      </c>
      <c r="AG243" s="9">
        <f>IF(C243="","",IF(OR(H243="",I243=""),"待补充",IF(COUNTIFS($C$2:$C$301,C243,$H$2:$H$301,H243,$I$2:$I$301,I243)&lt;&gt;COUNTIF($C$2:$C$301,C243),"请统一日期/负责人",IF(COUNTIF($C$2:C243,C243)=1,1,0))))</f>
        <v/>
      </c>
    </row>
    <row r="244" spans="25:33" ht="34" customHeight="1">
      <c r="Y244" s="10">
        <f>IF(A244="","",IF(COUNT(P244,R244:S244,U244:X244)&lt;7,"待补充",IF(MIN(P244,R244:S244,U244:X244)&lt;0,"检查输入",ROUND(P244-SUM(R244:S244)-SUM(U244:X244),4))))</f>
        <v/>
      </c>
      <c r="AF244" s="9">
        <f>IF(A244="","",IF(COUNTIF($A$2:$A$301,A244)&gt;1,"归因记录ID重复",IF(OR(B244="",C244="",D244="",H244="",COUNT(E244:G244)&lt;3,I244="",Z244=""),"待补归因/证据/日期",IF(F244&lt;E244,"窗口起止错误",IF(COUNTIF('达人线索与合作'!$B$2:$B$301,B244)&lt;&gt;1,"合作ID未唯一匹配",IF(COUNTIFS($B$2:$B$301,B244,$C$2:$C$301,C244,$D$2:$D$301,D244,$E$2:$E$301,E244,$F$2:$F$301,F244)&gt;1,"窗口重复：应更新原行",IF(AND(AD244="是",COUNTIFS($B$2:$B$301,B244,$C$2:$C$301,C244,$D$2:$D$301,D244,$AD$2:$AD$301,"是")&gt;1),"重复汇总：同视频SKU仅选一行",IF(AND(AC244="已复盘",AD244="是",ISNUMBER(Y244),AE244&lt;&gt;""),"可汇总","观察中/未完成结算核对"))))))))</f>
        <v/>
      </c>
      <c r="AG244" s="9">
        <f>IF(C244="","",IF(OR(H244="",I244=""),"待补充",IF(COUNTIFS($C$2:$C$301,C244,$H$2:$H$301,H244,$I$2:$I$301,I244)&lt;&gt;COUNTIF($C$2:$C$301,C244),"请统一日期/负责人",IF(COUNTIF($C$2:C244,C244)=1,1,0))))</f>
        <v/>
      </c>
    </row>
    <row r="245" spans="25:33" ht="34" customHeight="1">
      <c r="Y245" s="10">
        <f>IF(A245="","",IF(COUNT(P245,R245:S245,U245:X245)&lt;7,"待补充",IF(MIN(P245,R245:S245,U245:X245)&lt;0,"检查输入",ROUND(P245-SUM(R245:S245)-SUM(U245:X245),4))))</f>
        <v/>
      </c>
      <c r="AF245" s="9">
        <f>IF(A245="","",IF(COUNTIF($A$2:$A$301,A245)&gt;1,"归因记录ID重复",IF(OR(B245="",C245="",D245="",H245="",COUNT(E245:G245)&lt;3,I245="",Z245=""),"待补归因/证据/日期",IF(F245&lt;E245,"窗口起止错误",IF(COUNTIF('达人线索与合作'!$B$2:$B$301,B245)&lt;&gt;1,"合作ID未唯一匹配",IF(COUNTIFS($B$2:$B$301,B245,$C$2:$C$301,C245,$D$2:$D$301,D245,$E$2:$E$301,E245,$F$2:$F$301,F245)&gt;1,"窗口重复：应更新原行",IF(AND(AD245="是",COUNTIFS($B$2:$B$301,B245,$C$2:$C$301,C245,$D$2:$D$301,D245,$AD$2:$AD$301,"是")&gt;1),"重复汇总：同视频SKU仅选一行",IF(AND(AC245="已复盘",AD245="是",ISNUMBER(Y245),AE245&lt;&gt;""),"可汇总","观察中/未完成结算核对"))))))))</f>
        <v/>
      </c>
      <c r="AG245" s="9">
        <f>IF(C245="","",IF(OR(H245="",I245=""),"待补充",IF(COUNTIFS($C$2:$C$301,C245,$H$2:$H$301,H245,$I$2:$I$301,I245)&lt;&gt;COUNTIF($C$2:$C$301,C245),"请统一日期/负责人",IF(COUNTIF($C$2:C245,C245)=1,1,0))))</f>
        <v/>
      </c>
    </row>
    <row r="246" spans="25:33" ht="34" customHeight="1">
      <c r="Y246" s="10">
        <f>IF(A246="","",IF(COUNT(P246,R246:S246,U246:X246)&lt;7,"待补充",IF(MIN(P246,R246:S246,U246:X246)&lt;0,"检查输入",ROUND(P246-SUM(R246:S246)-SUM(U246:X246),4))))</f>
        <v/>
      </c>
      <c r="AF246" s="9">
        <f>IF(A246="","",IF(COUNTIF($A$2:$A$301,A246)&gt;1,"归因记录ID重复",IF(OR(B246="",C246="",D246="",H246="",COUNT(E246:G246)&lt;3,I246="",Z246=""),"待补归因/证据/日期",IF(F246&lt;E246,"窗口起止错误",IF(COUNTIF('达人线索与合作'!$B$2:$B$301,B246)&lt;&gt;1,"合作ID未唯一匹配",IF(COUNTIFS($B$2:$B$301,B246,$C$2:$C$301,C246,$D$2:$D$301,D246,$E$2:$E$301,E246,$F$2:$F$301,F246)&gt;1,"窗口重复：应更新原行",IF(AND(AD246="是",COUNTIFS($B$2:$B$301,B246,$C$2:$C$301,C246,$D$2:$D$301,D246,$AD$2:$AD$301,"是")&gt;1),"重复汇总：同视频SKU仅选一行",IF(AND(AC246="已复盘",AD246="是",ISNUMBER(Y246),AE246&lt;&gt;""),"可汇总","观察中/未完成结算核对"))))))))</f>
        <v/>
      </c>
      <c r="AG246" s="9">
        <f>IF(C246="","",IF(OR(H246="",I246=""),"待补充",IF(COUNTIFS($C$2:$C$301,C246,$H$2:$H$301,H246,$I$2:$I$301,I246)&lt;&gt;COUNTIF($C$2:$C$301,C246),"请统一日期/负责人",IF(COUNTIF($C$2:C246,C246)=1,1,0))))</f>
        <v/>
      </c>
    </row>
    <row r="247" spans="25:33" ht="34" customHeight="1">
      <c r="Y247" s="10">
        <f>IF(A247="","",IF(COUNT(P247,R247:S247,U247:X247)&lt;7,"待补充",IF(MIN(P247,R247:S247,U247:X247)&lt;0,"检查输入",ROUND(P247-SUM(R247:S247)-SUM(U247:X247),4))))</f>
        <v/>
      </c>
      <c r="AF247" s="9">
        <f>IF(A247="","",IF(COUNTIF($A$2:$A$301,A247)&gt;1,"归因记录ID重复",IF(OR(B247="",C247="",D247="",H247="",COUNT(E247:G247)&lt;3,I247="",Z247=""),"待补归因/证据/日期",IF(F247&lt;E247,"窗口起止错误",IF(COUNTIF('达人线索与合作'!$B$2:$B$301,B247)&lt;&gt;1,"合作ID未唯一匹配",IF(COUNTIFS($B$2:$B$301,B247,$C$2:$C$301,C247,$D$2:$D$301,D247,$E$2:$E$301,E247,$F$2:$F$301,F247)&gt;1,"窗口重复：应更新原行",IF(AND(AD247="是",COUNTIFS($B$2:$B$301,B247,$C$2:$C$301,C247,$D$2:$D$301,D247,$AD$2:$AD$301,"是")&gt;1),"重复汇总：同视频SKU仅选一行",IF(AND(AC247="已复盘",AD247="是",ISNUMBER(Y247),AE247&lt;&gt;""),"可汇总","观察中/未完成结算核对"))))))))</f>
        <v/>
      </c>
      <c r="AG247" s="9">
        <f>IF(C247="","",IF(OR(H247="",I247=""),"待补充",IF(COUNTIFS($C$2:$C$301,C247,$H$2:$H$301,H247,$I$2:$I$301,I247)&lt;&gt;COUNTIF($C$2:$C$301,C247),"请统一日期/负责人",IF(COUNTIF($C$2:C247,C247)=1,1,0))))</f>
        <v/>
      </c>
    </row>
    <row r="248" spans="25:33" ht="34" customHeight="1">
      <c r="Y248" s="10">
        <f>IF(A248="","",IF(COUNT(P248,R248:S248,U248:X248)&lt;7,"待补充",IF(MIN(P248,R248:S248,U248:X248)&lt;0,"检查输入",ROUND(P248-SUM(R248:S248)-SUM(U248:X248),4))))</f>
        <v/>
      </c>
      <c r="AF248" s="9">
        <f>IF(A248="","",IF(COUNTIF($A$2:$A$301,A248)&gt;1,"归因记录ID重复",IF(OR(B248="",C248="",D248="",H248="",COUNT(E248:G248)&lt;3,I248="",Z248=""),"待补归因/证据/日期",IF(F248&lt;E248,"窗口起止错误",IF(COUNTIF('达人线索与合作'!$B$2:$B$301,B248)&lt;&gt;1,"合作ID未唯一匹配",IF(COUNTIFS($B$2:$B$301,B248,$C$2:$C$301,C248,$D$2:$D$301,D248,$E$2:$E$301,E248,$F$2:$F$301,F248)&gt;1,"窗口重复：应更新原行",IF(AND(AD248="是",COUNTIFS($B$2:$B$301,B248,$C$2:$C$301,C248,$D$2:$D$301,D248,$AD$2:$AD$301,"是")&gt;1),"重复汇总：同视频SKU仅选一行",IF(AND(AC248="已复盘",AD248="是",ISNUMBER(Y248),AE248&lt;&gt;""),"可汇总","观察中/未完成结算核对"))))))))</f>
        <v/>
      </c>
      <c r="AG248" s="9">
        <f>IF(C248="","",IF(OR(H248="",I248=""),"待补充",IF(COUNTIFS($C$2:$C$301,C248,$H$2:$H$301,H248,$I$2:$I$301,I248)&lt;&gt;COUNTIF($C$2:$C$301,C248),"请统一日期/负责人",IF(COUNTIF($C$2:C248,C248)=1,1,0))))</f>
        <v/>
      </c>
    </row>
    <row r="249" spans="25:33" ht="34" customHeight="1">
      <c r="Y249" s="10">
        <f>IF(A249="","",IF(COUNT(P249,R249:S249,U249:X249)&lt;7,"待补充",IF(MIN(P249,R249:S249,U249:X249)&lt;0,"检查输入",ROUND(P249-SUM(R249:S249)-SUM(U249:X249),4))))</f>
        <v/>
      </c>
      <c r="AF249" s="9">
        <f>IF(A249="","",IF(COUNTIF($A$2:$A$301,A249)&gt;1,"归因记录ID重复",IF(OR(B249="",C249="",D249="",H249="",COUNT(E249:G249)&lt;3,I249="",Z249=""),"待补归因/证据/日期",IF(F249&lt;E249,"窗口起止错误",IF(COUNTIF('达人线索与合作'!$B$2:$B$301,B249)&lt;&gt;1,"合作ID未唯一匹配",IF(COUNTIFS($B$2:$B$301,B249,$C$2:$C$301,C249,$D$2:$D$301,D249,$E$2:$E$301,E249,$F$2:$F$301,F249)&gt;1,"窗口重复：应更新原行",IF(AND(AD249="是",COUNTIFS($B$2:$B$301,B249,$C$2:$C$301,C249,$D$2:$D$301,D249,$AD$2:$AD$301,"是")&gt;1),"重复汇总：同视频SKU仅选一行",IF(AND(AC249="已复盘",AD249="是",ISNUMBER(Y249),AE249&lt;&gt;""),"可汇总","观察中/未完成结算核对"))))))))</f>
        <v/>
      </c>
      <c r="AG249" s="9">
        <f>IF(C249="","",IF(OR(H249="",I249=""),"待补充",IF(COUNTIFS($C$2:$C$301,C249,$H$2:$H$301,H249,$I$2:$I$301,I249)&lt;&gt;COUNTIF($C$2:$C$301,C249),"请统一日期/负责人",IF(COUNTIF($C$2:C249,C249)=1,1,0))))</f>
        <v/>
      </c>
    </row>
    <row r="250" spans="25:33" ht="34" customHeight="1">
      <c r="Y250" s="10">
        <f>IF(A250="","",IF(COUNT(P250,R250:S250,U250:X250)&lt;7,"待补充",IF(MIN(P250,R250:S250,U250:X250)&lt;0,"检查输入",ROUND(P250-SUM(R250:S250)-SUM(U250:X250),4))))</f>
        <v/>
      </c>
      <c r="AF250" s="9">
        <f>IF(A250="","",IF(COUNTIF($A$2:$A$301,A250)&gt;1,"归因记录ID重复",IF(OR(B250="",C250="",D250="",H250="",COUNT(E250:G250)&lt;3,I250="",Z250=""),"待补归因/证据/日期",IF(F250&lt;E250,"窗口起止错误",IF(COUNTIF('达人线索与合作'!$B$2:$B$301,B250)&lt;&gt;1,"合作ID未唯一匹配",IF(COUNTIFS($B$2:$B$301,B250,$C$2:$C$301,C250,$D$2:$D$301,D250,$E$2:$E$301,E250,$F$2:$F$301,F250)&gt;1,"窗口重复：应更新原行",IF(AND(AD250="是",COUNTIFS($B$2:$B$301,B250,$C$2:$C$301,C250,$D$2:$D$301,D250,$AD$2:$AD$301,"是")&gt;1),"重复汇总：同视频SKU仅选一行",IF(AND(AC250="已复盘",AD250="是",ISNUMBER(Y250),AE250&lt;&gt;""),"可汇总","观察中/未完成结算核对"))))))))</f>
        <v/>
      </c>
      <c r="AG250" s="9">
        <f>IF(C250="","",IF(OR(H250="",I250=""),"待补充",IF(COUNTIFS($C$2:$C$301,C250,$H$2:$H$301,H250,$I$2:$I$301,I250)&lt;&gt;COUNTIF($C$2:$C$301,C250),"请统一日期/负责人",IF(COUNTIF($C$2:C250,C250)=1,1,0))))</f>
        <v/>
      </c>
    </row>
    <row r="251" spans="25:33" ht="34" customHeight="1">
      <c r="Y251" s="10">
        <f>IF(A251="","",IF(COUNT(P251,R251:S251,U251:X251)&lt;7,"待补充",IF(MIN(P251,R251:S251,U251:X251)&lt;0,"检查输入",ROUND(P251-SUM(R251:S251)-SUM(U251:X251),4))))</f>
        <v/>
      </c>
      <c r="AF251" s="9">
        <f>IF(A251="","",IF(COUNTIF($A$2:$A$301,A251)&gt;1,"归因记录ID重复",IF(OR(B251="",C251="",D251="",H251="",COUNT(E251:G251)&lt;3,I251="",Z251=""),"待补归因/证据/日期",IF(F251&lt;E251,"窗口起止错误",IF(COUNTIF('达人线索与合作'!$B$2:$B$301,B251)&lt;&gt;1,"合作ID未唯一匹配",IF(COUNTIFS($B$2:$B$301,B251,$C$2:$C$301,C251,$D$2:$D$301,D251,$E$2:$E$301,E251,$F$2:$F$301,F251)&gt;1,"窗口重复：应更新原行",IF(AND(AD251="是",COUNTIFS($B$2:$B$301,B251,$C$2:$C$301,C251,$D$2:$D$301,D251,$AD$2:$AD$301,"是")&gt;1),"重复汇总：同视频SKU仅选一行",IF(AND(AC251="已复盘",AD251="是",ISNUMBER(Y251),AE251&lt;&gt;""),"可汇总","观察中/未完成结算核对"))))))))</f>
        <v/>
      </c>
      <c r="AG251" s="9">
        <f>IF(C251="","",IF(OR(H251="",I251=""),"待补充",IF(COUNTIFS($C$2:$C$301,C251,$H$2:$H$301,H251,$I$2:$I$301,I251)&lt;&gt;COUNTIF($C$2:$C$301,C251),"请统一日期/负责人",IF(COUNTIF($C$2:C251,C251)=1,1,0))))</f>
        <v/>
      </c>
    </row>
    <row r="252" spans="25:33" ht="34" customHeight="1">
      <c r="Y252" s="10">
        <f>IF(A252="","",IF(COUNT(P252,R252:S252,U252:X252)&lt;7,"待补充",IF(MIN(P252,R252:S252,U252:X252)&lt;0,"检查输入",ROUND(P252-SUM(R252:S252)-SUM(U252:X252),4))))</f>
        <v/>
      </c>
      <c r="AF252" s="9">
        <f>IF(A252="","",IF(COUNTIF($A$2:$A$301,A252)&gt;1,"归因记录ID重复",IF(OR(B252="",C252="",D252="",H252="",COUNT(E252:G252)&lt;3,I252="",Z252=""),"待补归因/证据/日期",IF(F252&lt;E252,"窗口起止错误",IF(COUNTIF('达人线索与合作'!$B$2:$B$301,B252)&lt;&gt;1,"合作ID未唯一匹配",IF(COUNTIFS($B$2:$B$301,B252,$C$2:$C$301,C252,$D$2:$D$301,D252,$E$2:$E$301,E252,$F$2:$F$301,F252)&gt;1,"窗口重复：应更新原行",IF(AND(AD252="是",COUNTIFS($B$2:$B$301,B252,$C$2:$C$301,C252,$D$2:$D$301,D252,$AD$2:$AD$301,"是")&gt;1),"重复汇总：同视频SKU仅选一行",IF(AND(AC252="已复盘",AD252="是",ISNUMBER(Y252),AE252&lt;&gt;""),"可汇总","观察中/未完成结算核对"))))))))</f>
        <v/>
      </c>
      <c r="AG252" s="9">
        <f>IF(C252="","",IF(OR(H252="",I252=""),"待补充",IF(COUNTIFS($C$2:$C$301,C252,$H$2:$H$301,H252,$I$2:$I$301,I252)&lt;&gt;COUNTIF($C$2:$C$301,C252),"请统一日期/负责人",IF(COUNTIF($C$2:C252,C252)=1,1,0))))</f>
        <v/>
      </c>
    </row>
    <row r="253" spans="25:33" ht="34" customHeight="1">
      <c r="Y253" s="10">
        <f>IF(A253="","",IF(COUNT(P253,R253:S253,U253:X253)&lt;7,"待补充",IF(MIN(P253,R253:S253,U253:X253)&lt;0,"检查输入",ROUND(P253-SUM(R253:S253)-SUM(U253:X253),4))))</f>
        <v/>
      </c>
      <c r="AF253" s="9">
        <f>IF(A253="","",IF(COUNTIF($A$2:$A$301,A253)&gt;1,"归因记录ID重复",IF(OR(B253="",C253="",D253="",H253="",COUNT(E253:G253)&lt;3,I253="",Z253=""),"待补归因/证据/日期",IF(F253&lt;E253,"窗口起止错误",IF(COUNTIF('达人线索与合作'!$B$2:$B$301,B253)&lt;&gt;1,"合作ID未唯一匹配",IF(COUNTIFS($B$2:$B$301,B253,$C$2:$C$301,C253,$D$2:$D$301,D253,$E$2:$E$301,E253,$F$2:$F$301,F253)&gt;1,"窗口重复：应更新原行",IF(AND(AD253="是",COUNTIFS($B$2:$B$301,B253,$C$2:$C$301,C253,$D$2:$D$301,D253,$AD$2:$AD$301,"是")&gt;1),"重复汇总：同视频SKU仅选一行",IF(AND(AC253="已复盘",AD253="是",ISNUMBER(Y253),AE253&lt;&gt;""),"可汇总","观察中/未完成结算核对"))))))))</f>
        <v/>
      </c>
      <c r="AG253" s="9">
        <f>IF(C253="","",IF(OR(H253="",I253=""),"待补充",IF(COUNTIFS($C$2:$C$301,C253,$H$2:$H$301,H253,$I$2:$I$301,I253)&lt;&gt;COUNTIF($C$2:$C$301,C253),"请统一日期/负责人",IF(COUNTIF($C$2:C253,C253)=1,1,0))))</f>
        <v/>
      </c>
    </row>
    <row r="254" spans="25:33" ht="34" customHeight="1">
      <c r="Y254" s="10">
        <f>IF(A254="","",IF(COUNT(P254,R254:S254,U254:X254)&lt;7,"待补充",IF(MIN(P254,R254:S254,U254:X254)&lt;0,"检查输入",ROUND(P254-SUM(R254:S254)-SUM(U254:X254),4))))</f>
        <v/>
      </c>
      <c r="AF254" s="9">
        <f>IF(A254="","",IF(COUNTIF($A$2:$A$301,A254)&gt;1,"归因记录ID重复",IF(OR(B254="",C254="",D254="",H254="",COUNT(E254:G254)&lt;3,I254="",Z254=""),"待补归因/证据/日期",IF(F254&lt;E254,"窗口起止错误",IF(COUNTIF('达人线索与合作'!$B$2:$B$301,B254)&lt;&gt;1,"合作ID未唯一匹配",IF(COUNTIFS($B$2:$B$301,B254,$C$2:$C$301,C254,$D$2:$D$301,D254,$E$2:$E$301,E254,$F$2:$F$301,F254)&gt;1,"窗口重复：应更新原行",IF(AND(AD254="是",COUNTIFS($B$2:$B$301,B254,$C$2:$C$301,C254,$D$2:$D$301,D254,$AD$2:$AD$301,"是")&gt;1),"重复汇总：同视频SKU仅选一行",IF(AND(AC254="已复盘",AD254="是",ISNUMBER(Y254),AE254&lt;&gt;""),"可汇总","观察中/未完成结算核对"))))))))</f>
        <v/>
      </c>
      <c r="AG254" s="9">
        <f>IF(C254="","",IF(OR(H254="",I254=""),"待补充",IF(COUNTIFS($C$2:$C$301,C254,$H$2:$H$301,H254,$I$2:$I$301,I254)&lt;&gt;COUNTIF($C$2:$C$301,C254),"请统一日期/负责人",IF(COUNTIF($C$2:C254,C254)=1,1,0))))</f>
        <v/>
      </c>
    </row>
    <row r="255" spans="25:33" ht="34" customHeight="1">
      <c r="Y255" s="10">
        <f>IF(A255="","",IF(COUNT(P255,R255:S255,U255:X255)&lt;7,"待补充",IF(MIN(P255,R255:S255,U255:X255)&lt;0,"检查输入",ROUND(P255-SUM(R255:S255)-SUM(U255:X255),4))))</f>
        <v/>
      </c>
      <c r="AF255" s="9">
        <f>IF(A255="","",IF(COUNTIF($A$2:$A$301,A255)&gt;1,"归因记录ID重复",IF(OR(B255="",C255="",D255="",H255="",COUNT(E255:G255)&lt;3,I255="",Z255=""),"待补归因/证据/日期",IF(F255&lt;E255,"窗口起止错误",IF(COUNTIF('达人线索与合作'!$B$2:$B$301,B255)&lt;&gt;1,"合作ID未唯一匹配",IF(COUNTIFS($B$2:$B$301,B255,$C$2:$C$301,C255,$D$2:$D$301,D255,$E$2:$E$301,E255,$F$2:$F$301,F255)&gt;1,"窗口重复：应更新原行",IF(AND(AD255="是",COUNTIFS($B$2:$B$301,B255,$C$2:$C$301,C255,$D$2:$D$301,D255,$AD$2:$AD$301,"是")&gt;1),"重复汇总：同视频SKU仅选一行",IF(AND(AC255="已复盘",AD255="是",ISNUMBER(Y255),AE255&lt;&gt;""),"可汇总","观察中/未完成结算核对"))))))))</f>
        <v/>
      </c>
      <c r="AG255" s="9">
        <f>IF(C255="","",IF(OR(H255="",I255=""),"待补充",IF(COUNTIFS($C$2:$C$301,C255,$H$2:$H$301,H255,$I$2:$I$301,I255)&lt;&gt;COUNTIF($C$2:$C$301,C255),"请统一日期/负责人",IF(COUNTIF($C$2:C255,C255)=1,1,0))))</f>
        <v/>
      </c>
    </row>
    <row r="256" spans="25:33" ht="34" customHeight="1">
      <c r="Y256" s="10">
        <f>IF(A256="","",IF(COUNT(P256,R256:S256,U256:X256)&lt;7,"待补充",IF(MIN(P256,R256:S256,U256:X256)&lt;0,"检查输入",ROUND(P256-SUM(R256:S256)-SUM(U256:X256),4))))</f>
        <v/>
      </c>
      <c r="AF256" s="9">
        <f>IF(A256="","",IF(COUNTIF($A$2:$A$301,A256)&gt;1,"归因记录ID重复",IF(OR(B256="",C256="",D256="",H256="",COUNT(E256:G256)&lt;3,I256="",Z256=""),"待补归因/证据/日期",IF(F256&lt;E256,"窗口起止错误",IF(COUNTIF('达人线索与合作'!$B$2:$B$301,B256)&lt;&gt;1,"合作ID未唯一匹配",IF(COUNTIFS($B$2:$B$301,B256,$C$2:$C$301,C256,$D$2:$D$301,D256,$E$2:$E$301,E256,$F$2:$F$301,F256)&gt;1,"窗口重复：应更新原行",IF(AND(AD256="是",COUNTIFS($B$2:$B$301,B256,$C$2:$C$301,C256,$D$2:$D$301,D256,$AD$2:$AD$301,"是")&gt;1),"重复汇总：同视频SKU仅选一行",IF(AND(AC256="已复盘",AD256="是",ISNUMBER(Y256),AE256&lt;&gt;""),"可汇总","观察中/未完成结算核对"))))))))</f>
        <v/>
      </c>
      <c r="AG256" s="9">
        <f>IF(C256="","",IF(OR(H256="",I256=""),"待补充",IF(COUNTIFS($C$2:$C$301,C256,$H$2:$H$301,H256,$I$2:$I$301,I256)&lt;&gt;COUNTIF($C$2:$C$301,C256),"请统一日期/负责人",IF(COUNTIF($C$2:C256,C256)=1,1,0))))</f>
        <v/>
      </c>
    </row>
    <row r="257" spans="25:33" ht="34" customHeight="1">
      <c r="Y257" s="10">
        <f>IF(A257="","",IF(COUNT(P257,R257:S257,U257:X257)&lt;7,"待补充",IF(MIN(P257,R257:S257,U257:X257)&lt;0,"检查输入",ROUND(P257-SUM(R257:S257)-SUM(U257:X257),4))))</f>
        <v/>
      </c>
      <c r="AF257" s="9">
        <f>IF(A257="","",IF(COUNTIF($A$2:$A$301,A257)&gt;1,"归因记录ID重复",IF(OR(B257="",C257="",D257="",H257="",COUNT(E257:G257)&lt;3,I257="",Z257=""),"待补归因/证据/日期",IF(F257&lt;E257,"窗口起止错误",IF(COUNTIF('达人线索与合作'!$B$2:$B$301,B257)&lt;&gt;1,"合作ID未唯一匹配",IF(COUNTIFS($B$2:$B$301,B257,$C$2:$C$301,C257,$D$2:$D$301,D257,$E$2:$E$301,E257,$F$2:$F$301,F257)&gt;1,"窗口重复：应更新原行",IF(AND(AD257="是",COUNTIFS($B$2:$B$301,B257,$C$2:$C$301,C257,$D$2:$D$301,D257,$AD$2:$AD$301,"是")&gt;1),"重复汇总：同视频SKU仅选一行",IF(AND(AC257="已复盘",AD257="是",ISNUMBER(Y257),AE257&lt;&gt;""),"可汇总","观察中/未完成结算核对"))))))))</f>
        <v/>
      </c>
      <c r="AG257" s="9">
        <f>IF(C257="","",IF(OR(H257="",I257=""),"待补充",IF(COUNTIFS($C$2:$C$301,C257,$H$2:$H$301,H257,$I$2:$I$301,I257)&lt;&gt;COUNTIF($C$2:$C$301,C257),"请统一日期/负责人",IF(COUNTIF($C$2:C257,C257)=1,1,0))))</f>
        <v/>
      </c>
    </row>
    <row r="258" spans="25:33" ht="34" customHeight="1">
      <c r="Y258" s="10">
        <f>IF(A258="","",IF(COUNT(P258,R258:S258,U258:X258)&lt;7,"待补充",IF(MIN(P258,R258:S258,U258:X258)&lt;0,"检查输入",ROUND(P258-SUM(R258:S258)-SUM(U258:X258),4))))</f>
        <v/>
      </c>
      <c r="AF258" s="9">
        <f>IF(A258="","",IF(COUNTIF($A$2:$A$301,A258)&gt;1,"归因记录ID重复",IF(OR(B258="",C258="",D258="",H258="",COUNT(E258:G258)&lt;3,I258="",Z258=""),"待补归因/证据/日期",IF(F258&lt;E258,"窗口起止错误",IF(COUNTIF('达人线索与合作'!$B$2:$B$301,B258)&lt;&gt;1,"合作ID未唯一匹配",IF(COUNTIFS($B$2:$B$301,B258,$C$2:$C$301,C258,$D$2:$D$301,D258,$E$2:$E$301,E258,$F$2:$F$301,F258)&gt;1,"窗口重复：应更新原行",IF(AND(AD258="是",COUNTIFS($B$2:$B$301,B258,$C$2:$C$301,C258,$D$2:$D$301,D258,$AD$2:$AD$301,"是")&gt;1),"重复汇总：同视频SKU仅选一行",IF(AND(AC258="已复盘",AD258="是",ISNUMBER(Y258),AE258&lt;&gt;""),"可汇总","观察中/未完成结算核对"))))))))</f>
        <v/>
      </c>
      <c r="AG258" s="9">
        <f>IF(C258="","",IF(OR(H258="",I258=""),"待补充",IF(COUNTIFS($C$2:$C$301,C258,$H$2:$H$301,H258,$I$2:$I$301,I258)&lt;&gt;COUNTIF($C$2:$C$301,C258),"请统一日期/负责人",IF(COUNTIF($C$2:C258,C258)=1,1,0))))</f>
        <v/>
      </c>
    </row>
    <row r="259" spans="25:33" ht="34" customHeight="1">
      <c r="Y259" s="10">
        <f>IF(A259="","",IF(COUNT(P259,R259:S259,U259:X259)&lt;7,"待补充",IF(MIN(P259,R259:S259,U259:X259)&lt;0,"检查输入",ROUND(P259-SUM(R259:S259)-SUM(U259:X259),4))))</f>
        <v/>
      </c>
      <c r="AF259" s="9">
        <f>IF(A259="","",IF(COUNTIF($A$2:$A$301,A259)&gt;1,"归因记录ID重复",IF(OR(B259="",C259="",D259="",H259="",COUNT(E259:G259)&lt;3,I259="",Z259=""),"待补归因/证据/日期",IF(F259&lt;E259,"窗口起止错误",IF(COUNTIF('达人线索与合作'!$B$2:$B$301,B259)&lt;&gt;1,"合作ID未唯一匹配",IF(COUNTIFS($B$2:$B$301,B259,$C$2:$C$301,C259,$D$2:$D$301,D259,$E$2:$E$301,E259,$F$2:$F$301,F259)&gt;1,"窗口重复：应更新原行",IF(AND(AD259="是",COUNTIFS($B$2:$B$301,B259,$C$2:$C$301,C259,$D$2:$D$301,D259,$AD$2:$AD$301,"是")&gt;1),"重复汇总：同视频SKU仅选一行",IF(AND(AC259="已复盘",AD259="是",ISNUMBER(Y259),AE259&lt;&gt;""),"可汇总","观察中/未完成结算核对"))))))))</f>
        <v/>
      </c>
      <c r="AG259" s="9">
        <f>IF(C259="","",IF(OR(H259="",I259=""),"待补充",IF(COUNTIFS($C$2:$C$301,C259,$H$2:$H$301,H259,$I$2:$I$301,I259)&lt;&gt;COUNTIF($C$2:$C$301,C259),"请统一日期/负责人",IF(COUNTIF($C$2:C259,C259)=1,1,0))))</f>
        <v/>
      </c>
    </row>
    <row r="260" spans="25:33" ht="34" customHeight="1">
      <c r="Y260" s="10">
        <f>IF(A260="","",IF(COUNT(P260,R260:S260,U260:X260)&lt;7,"待补充",IF(MIN(P260,R260:S260,U260:X260)&lt;0,"检查输入",ROUND(P260-SUM(R260:S260)-SUM(U260:X260),4))))</f>
        <v/>
      </c>
      <c r="AF260" s="9">
        <f>IF(A260="","",IF(COUNTIF($A$2:$A$301,A260)&gt;1,"归因记录ID重复",IF(OR(B260="",C260="",D260="",H260="",COUNT(E260:G260)&lt;3,I260="",Z260=""),"待补归因/证据/日期",IF(F260&lt;E260,"窗口起止错误",IF(COUNTIF('达人线索与合作'!$B$2:$B$301,B260)&lt;&gt;1,"合作ID未唯一匹配",IF(COUNTIFS($B$2:$B$301,B260,$C$2:$C$301,C260,$D$2:$D$301,D260,$E$2:$E$301,E260,$F$2:$F$301,F260)&gt;1,"窗口重复：应更新原行",IF(AND(AD260="是",COUNTIFS($B$2:$B$301,B260,$C$2:$C$301,C260,$D$2:$D$301,D260,$AD$2:$AD$301,"是")&gt;1),"重复汇总：同视频SKU仅选一行",IF(AND(AC260="已复盘",AD260="是",ISNUMBER(Y260),AE260&lt;&gt;""),"可汇总","观察中/未完成结算核对"))))))))</f>
        <v/>
      </c>
      <c r="AG260" s="9">
        <f>IF(C260="","",IF(OR(H260="",I260=""),"待补充",IF(COUNTIFS($C$2:$C$301,C260,$H$2:$H$301,H260,$I$2:$I$301,I260)&lt;&gt;COUNTIF($C$2:$C$301,C260),"请统一日期/负责人",IF(COUNTIF($C$2:C260,C260)=1,1,0))))</f>
        <v/>
      </c>
    </row>
    <row r="261" spans="25:33" ht="34" customHeight="1">
      <c r="Y261" s="10">
        <f>IF(A261="","",IF(COUNT(P261,R261:S261,U261:X261)&lt;7,"待补充",IF(MIN(P261,R261:S261,U261:X261)&lt;0,"检查输入",ROUND(P261-SUM(R261:S261)-SUM(U261:X261),4))))</f>
        <v/>
      </c>
      <c r="AF261" s="9">
        <f>IF(A261="","",IF(COUNTIF($A$2:$A$301,A261)&gt;1,"归因记录ID重复",IF(OR(B261="",C261="",D261="",H261="",COUNT(E261:G261)&lt;3,I261="",Z261=""),"待补归因/证据/日期",IF(F261&lt;E261,"窗口起止错误",IF(COUNTIF('达人线索与合作'!$B$2:$B$301,B261)&lt;&gt;1,"合作ID未唯一匹配",IF(COUNTIFS($B$2:$B$301,B261,$C$2:$C$301,C261,$D$2:$D$301,D261,$E$2:$E$301,E261,$F$2:$F$301,F261)&gt;1,"窗口重复：应更新原行",IF(AND(AD261="是",COUNTIFS($B$2:$B$301,B261,$C$2:$C$301,C261,$D$2:$D$301,D261,$AD$2:$AD$301,"是")&gt;1),"重复汇总：同视频SKU仅选一行",IF(AND(AC261="已复盘",AD261="是",ISNUMBER(Y261),AE261&lt;&gt;""),"可汇总","观察中/未完成结算核对"))))))))</f>
        <v/>
      </c>
      <c r="AG261" s="9">
        <f>IF(C261="","",IF(OR(H261="",I261=""),"待补充",IF(COUNTIFS($C$2:$C$301,C261,$H$2:$H$301,H261,$I$2:$I$301,I261)&lt;&gt;COUNTIF($C$2:$C$301,C261),"请统一日期/负责人",IF(COUNTIF($C$2:C261,C261)=1,1,0))))</f>
        <v/>
      </c>
    </row>
    <row r="262" spans="25:33" ht="34" customHeight="1">
      <c r="Y262" s="10">
        <f>IF(A262="","",IF(COUNT(P262,R262:S262,U262:X262)&lt;7,"待补充",IF(MIN(P262,R262:S262,U262:X262)&lt;0,"检查输入",ROUND(P262-SUM(R262:S262)-SUM(U262:X262),4))))</f>
        <v/>
      </c>
      <c r="AF262" s="9">
        <f>IF(A262="","",IF(COUNTIF($A$2:$A$301,A262)&gt;1,"归因记录ID重复",IF(OR(B262="",C262="",D262="",H262="",COUNT(E262:G262)&lt;3,I262="",Z262=""),"待补归因/证据/日期",IF(F262&lt;E262,"窗口起止错误",IF(COUNTIF('达人线索与合作'!$B$2:$B$301,B262)&lt;&gt;1,"合作ID未唯一匹配",IF(COUNTIFS($B$2:$B$301,B262,$C$2:$C$301,C262,$D$2:$D$301,D262,$E$2:$E$301,E262,$F$2:$F$301,F262)&gt;1,"窗口重复：应更新原行",IF(AND(AD262="是",COUNTIFS($B$2:$B$301,B262,$C$2:$C$301,C262,$D$2:$D$301,D262,$AD$2:$AD$301,"是")&gt;1),"重复汇总：同视频SKU仅选一行",IF(AND(AC262="已复盘",AD262="是",ISNUMBER(Y262),AE262&lt;&gt;""),"可汇总","观察中/未完成结算核对"))))))))</f>
        <v/>
      </c>
      <c r="AG262" s="9">
        <f>IF(C262="","",IF(OR(H262="",I262=""),"待补充",IF(COUNTIFS($C$2:$C$301,C262,$H$2:$H$301,H262,$I$2:$I$301,I262)&lt;&gt;COUNTIF($C$2:$C$301,C262),"请统一日期/负责人",IF(COUNTIF($C$2:C262,C262)=1,1,0))))</f>
        <v/>
      </c>
    </row>
    <row r="263" spans="25:33" ht="34" customHeight="1">
      <c r="Y263" s="10">
        <f>IF(A263="","",IF(COUNT(P263,R263:S263,U263:X263)&lt;7,"待补充",IF(MIN(P263,R263:S263,U263:X263)&lt;0,"检查输入",ROUND(P263-SUM(R263:S263)-SUM(U263:X263),4))))</f>
        <v/>
      </c>
      <c r="AF263" s="9">
        <f>IF(A263="","",IF(COUNTIF($A$2:$A$301,A263)&gt;1,"归因记录ID重复",IF(OR(B263="",C263="",D263="",H263="",COUNT(E263:G263)&lt;3,I263="",Z263=""),"待补归因/证据/日期",IF(F263&lt;E263,"窗口起止错误",IF(COUNTIF('达人线索与合作'!$B$2:$B$301,B263)&lt;&gt;1,"合作ID未唯一匹配",IF(COUNTIFS($B$2:$B$301,B263,$C$2:$C$301,C263,$D$2:$D$301,D263,$E$2:$E$301,E263,$F$2:$F$301,F263)&gt;1,"窗口重复：应更新原行",IF(AND(AD263="是",COUNTIFS($B$2:$B$301,B263,$C$2:$C$301,C263,$D$2:$D$301,D263,$AD$2:$AD$301,"是")&gt;1),"重复汇总：同视频SKU仅选一行",IF(AND(AC263="已复盘",AD263="是",ISNUMBER(Y263),AE263&lt;&gt;""),"可汇总","观察中/未完成结算核对"))))))))</f>
        <v/>
      </c>
      <c r="AG263" s="9">
        <f>IF(C263="","",IF(OR(H263="",I263=""),"待补充",IF(COUNTIFS($C$2:$C$301,C263,$H$2:$H$301,H263,$I$2:$I$301,I263)&lt;&gt;COUNTIF($C$2:$C$301,C263),"请统一日期/负责人",IF(COUNTIF($C$2:C263,C263)=1,1,0))))</f>
        <v/>
      </c>
    </row>
    <row r="264" spans="25:33" ht="34" customHeight="1">
      <c r="Y264" s="10">
        <f>IF(A264="","",IF(COUNT(P264,R264:S264,U264:X264)&lt;7,"待补充",IF(MIN(P264,R264:S264,U264:X264)&lt;0,"检查输入",ROUND(P264-SUM(R264:S264)-SUM(U264:X264),4))))</f>
        <v/>
      </c>
      <c r="AF264" s="9">
        <f>IF(A264="","",IF(COUNTIF($A$2:$A$301,A264)&gt;1,"归因记录ID重复",IF(OR(B264="",C264="",D264="",H264="",COUNT(E264:G264)&lt;3,I264="",Z264=""),"待补归因/证据/日期",IF(F264&lt;E264,"窗口起止错误",IF(COUNTIF('达人线索与合作'!$B$2:$B$301,B264)&lt;&gt;1,"合作ID未唯一匹配",IF(COUNTIFS($B$2:$B$301,B264,$C$2:$C$301,C264,$D$2:$D$301,D264,$E$2:$E$301,E264,$F$2:$F$301,F264)&gt;1,"窗口重复：应更新原行",IF(AND(AD264="是",COUNTIFS($B$2:$B$301,B264,$C$2:$C$301,C264,$D$2:$D$301,D264,$AD$2:$AD$301,"是")&gt;1),"重复汇总：同视频SKU仅选一行",IF(AND(AC264="已复盘",AD264="是",ISNUMBER(Y264),AE264&lt;&gt;""),"可汇总","观察中/未完成结算核对"))))))))</f>
        <v/>
      </c>
      <c r="AG264" s="9">
        <f>IF(C264="","",IF(OR(H264="",I264=""),"待补充",IF(COUNTIFS($C$2:$C$301,C264,$H$2:$H$301,H264,$I$2:$I$301,I264)&lt;&gt;COUNTIF($C$2:$C$301,C264),"请统一日期/负责人",IF(COUNTIF($C$2:C264,C264)=1,1,0))))</f>
        <v/>
      </c>
    </row>
    <row r="265" spans="25:33" ht="34" customHeight="1">
      <c r="Y265" s="10">
        <f>IF(A265="","",IF(COUNT(P265,R265:S265,U265:X265)&lt;7,"待补充",IF(MIN(P265,R265:S265,U265:X265)&lt;0,"检查输入",ROUND(P265-SUM(R265:S265)-SUM(U265:X265),4))))</f>
        <v/>
      </c>
      <c r="AF265" s="9">
        <f>IF(A265="","",IF(COUNTIF($A$2:$A$301,A265)&gt;1,"归因记录ID重复",IF(OR(B265="",C265="",D265="",H265="",COUNT(E265:G265)&lt;3,I265="",Z265=""),"待补归因/证据/日期",IF(F265&lt;E265,"窗口起止错误",IF(COUNTIF('达人线索与合作'!$B$2:$B$301,B265)&lt;&gt;1,"合作ID未唯一匹配",IF(COUNTIFS($B$2:$B$301,B265,$C$2:$C$301,C265,$D$2:$D$301,D265,$E$2:$E$301,E265,$F$2:$F$301,F265)&gt;1,"窗口重复：应更新原行",IF(AND(AD265="是",COUNTIFS($B$2:$B$301,B265,$C$2:$C$301,C265,$D$2:$D$301,D265,$AD$2:$AD$301,"是")&gt;1),"重复汇总：同视频SKU仅选一行",IF(AND(AC265="已复盘",AD265="是",ISNUMBER(Y265),AE265&lt;&gt;""),"可汇总","观察中/未完成结算核对"))))))))</f>
        <v/>
      </c>
      <c r="AG265" s="9">
        <f>IF(C265="","",IF(OR(H265="",I265=""),"待补充",IF(COUNTIFS($C$2:$C$301,C265,$H$2:$H$301,H265,$I$2:$I$301,I265)&lt;&gt;COUNTIF($C$2:$C$301,C265),"请统一日期/负责人",IF(COUNTIF($C$2:C265,C265)=1,1,0))))</f>
        <v/>
      </c>
    </row>
    <row r="266" spans="25:33" ht="34" customHeight="1">
      <c r="Y266" s="10">
        <f>IF(A266="","",IF(COUNT(P266,R266:S266,U266:X266)&lt;7,"待补充",IF(MIN(P266,R266:S266,U266:X266)&lt;0,"检查输入",ROUND(P266-SUM(R266:S266)-SUM(U266:X266),4))))</f>
        <v/>
      </c>
      <c r="AF266" s="9">
        <f>IF(A266="","",IF(COUNTIF($A$2:$A$301,A266)&gt;1,"归因记录ID重复",IF(OR(B266="",C266="",D266="",H266="",COUNT(E266:G266)&lt;3,I266="",Z266=""),"待补归因/证据/日期",IF(F266&lt;E266,"窗口起止错误",IF(COUNTIF('达人线索与合作'!$B$2:$B$301,B266)&lt;&gt;1,"合作ID未唯一匹配",IF(COUNTIFS($B$2:$B$301,B266,$C$2:$C$301,C266,$D$2:$D$301,D266,$E$2:$E$301,E266,$F$2:$F$301,F266)&gt;1,"窗口重复：应更新原行",IF(AND(AD266="是",COUNTIFS($B$2:$B$301,B266,$C$2:$C$301,C266,$D$2:$D$301,D266,$AD$2:$AD$301,"是")&gt;1),"重复汇总：同视频SKU仅选一行",IF(AND(AC266="已复盘",AD266="是",ISNUMBER(Y266),AE266&lt;&gt;""),"可汇总","观察中/未完成结算核对"))))))))</f>
        <v/>
      </c>
      <c r="AG266" s="9">
        <f>IF(C266="","",IF(OR(H266="",I266=""),"待补充",IF(COUNTIFS($C$2:$C$301,C266,$H$2:$H$301,H266,$I$2:$I$301,I266)&lt;&gt;COUNTIF($C$2:$C$301,C266),"请统一日期/负责人",IF(COUNTIF($C$2:C266,C266)=1,1,0))))</f>
        <v/>
      </c>
    </row>
    <row r="267" spans="25:33" ht="34" customHeight="1">
      <c r="Y267" s="10">
        <f>IF(A267="","",IF(COUNT(P267,R267:S267,U267:X267)&lt;7,"待补充",IF(MIN(P267,R267:S267,U267:X267)&lt;0,"检查输入",ROUND(P267-SUM(R267:S267)-SUM(U267:X267),4))))</f>
        <v/>
      </c>
      <c r="AF267" s="9">
        <f>IF(A267="","",IF(COUNTIF($A$2:$A$301,A267)&gt;1,"归因记录ID重复",IF(OR(B267="",C267="",D267="",H267="",COUNT(E267:G267)&lt;3,I267="",Z267=""),"待补归因/证据/日期",IF(F267&lt;E267,"窗口起止错误",IF(COUNTIF('达人线索与合作'!$B$2:$B$301,B267)&lt;&gt;1,"合作ID未唯一匹配",IF(COUNTIFS($B$2:$B$301,B267,$C$2:$C$301,C267,$D$2:$D$301,D267,$E$2:$E$301,E267,$F$2:$F$301,F267)&gt;1,"窗口重复：应更新原行",IF(AND(AD267="是",COUNTIFS($B$2:$B$301,B267,$C$2:$C$301,C267,$D$2:$D$301,D267,$AD$2:$AD$301,"是")&gt;1),"重复汇总：同视频SKU仅选一行",IF(AND(AC267="已复盘",AD267="是",ISNUMBER(Y267),AE267&lt;&gt;""),"可汇总","观察中/未完成结算核对"))))))))</f>
        <v/>
      </c>
      <c r="AG267" s="9">
        <f>IF(C267="","",IF(OR(H267="",I267=""),"待补充",IF(COUNTIFS($C$2:$C$301,C267,$H$2:$H$301,H267,$I$2:$I$301,I267)&lt;&gt;COUNTIF($C$2:$C$301,C267),"请统一日期/负责人",IF(COUNTIF($C$2:C267,C267)=1,1,0))))</f>
        <v/>
      </c>
    </row>
    <row r="268" spans="25:33" ht="34" customHeight="1">
      <c r="Y268" s="10">
        <f>IF(A268="","",IF(COUNT(P268,R268:S268,U268:X268)&lt;7,"待补充",IF(MIN(P268,R268:S268,U268:X268)&lt;0,"检查输入",ROUND(P268-SUM(R268:S268)-SUM(U268:X268),4))))</f>
        <v/>
      </c>
      <c r="AF268" s="9">
        <f>IF(A268="","",IF(COUNTIF($A$2:$A$301,A268)&gt;1,"归因记录ID重复",IF(OR(B268="",C268="",D268="",H268="",COUNT(E268:G268)&lt;3,I268="",Z268=""),"待补归因/证据/日期",IF(F268&lt;E268,"窗口起止错误",IF(COUNTIF('达人线索与合作'!$B$2:$B$301,B268)&lt;&gt;1,"合作ID未唯一匹配",IF(COUNTIFS($B$2:$B$301,B268,$C$2:$C$301,C268,$D$2:$D$301,D268,$E$2:$E$301,E268,$F$2:$F$301,F268)&gt;1,"窗口重复：应更新原行",IF(AND(AD268="是",COUNTIFS($B$2:$B$301,B268,$C$2:$C$301,C268,$D$2:$D$301,D268,$AD$2:$AD$301,"是")&gt;1),"重复汇总：同视频SKU仅选一行",IF(AND(AC268="已复盘",AD268="是",ISNUMBER(Y268),AE268&lt;&gt;""),"可汇总","观察中/未完成结算核对"))))))))</f>
        <v/>
      </c>
      <c r="AG268" s="9">
        <f>IF(C268="","",IF(OR(H268="",I268=""),"待补充",IF(COUNTIFS($C$2:$C$301,C268,$H$2:$H$301,H268,$I$2:$I$301,I268)&lt;&gt;COUNTIF($C$2:$C$301,C268),"请统一日期/负责人",IF(COUNTIF($C$2:C268,C268)=1,1,0))))</f>
        <v/>
      </c>
    </row>
    <row r="269" spans="25:33" ht="34" customHeight="1">
      <c r="Y269" s="10">
        <f>IF(A269="","",IF(COUNT(P269,R269:S269,U269:X269)&lt;7,"待补充",IF(MIN(P269,R269:S269,U269:X269)&lt;0,"检查输入",ROUND(P269-SUM(R269:S269)-SUM(U269:X269),4))))</f>
        <v/>
      </c>
      <c r="AF269" s="9">
        <f>IF(A269="","",IF(COUNTIF($A$2:$A$301,A269)&gt;1,"归因记录ID重复",IF(OR(B269="",C269="",D269="",H269="",COUNT(E269:G269)&lt;3,I269="",Z269=""),"待补归因/证据/日期",IF(F269&lt;E269,"窗口起止错误",IF(COUNTIF('达人线索与合作'!$B$2:$B$301,B269)&lt;&gt;1,"合作ID未唯一匹配",IF(COUNTIFS($B$2:$B$301,B269,$C$2:$C$301,C269,$D$2:$D$301,D269,$E$2:$E$301,E269,$F$2:$F$301,F269)&gt;1,"窗口重复：应更新原行",IF(AND(AD269="是",COUNTIFS($B$2:$B$301,B269,$C$2:$C$301,C269,$D$2:$D$301,D269,$AD$2:$AD$301,"是")&gt;1),"重复汇总：同视频SKU仅选一行",IF(AND(AC269="已复盘",AD269="是",ISNUMBER(Y269),AE269&lt;&gt;""),"可汇总","观察中/未完成结算核对"))))))))</f>
        <v/>
      </c>
      <c r="AG269" s="9">
        <f>IF(C269="","",IF(OR(H269="",I269=""),"待补充",IF(COUNTIFS($C$2:$C$301,C269,$H$2:$H$301,H269,$I$2:$I$301,I269)&lt;&gt;COUNTIF($C$2:$C$301,C269),"请统一日期/负责人",IF(COUNTIF($C$2:C269,C269)=1,1,0))))</f>
        <v/>
      </c>
    </row>
    <row r="270" spans="25:33" ht="34" customHeight="1">
      <c r="Y270" s="10">
        <f>IF(A270="","",IF(COUNT(P270,R270:S270,U270:X270)&lt;7,"待补充",IF(MIN(P270,R270:S270,U270:X270)&lt;0,"检查输入",ROUND(P270-SUM(R270:S270)-SUM(U270:X270),4))))</f>
        <v/>
      </c>
      <c r="AF270" s="9">
        <f>IF(A270="","",IF(COUNTIF($A$2:$A$301,A270)&gt;1,"归因记录ID重复",IF(OR(B270="",C270="",D270="",H270="",COUNT(E270:G270)&lt;3,I270="",Z270=""),"待补归因/证据/日期",IF(F270&lt;E270,"窗口起止错误",IF(COUNTIF('达人线索与合作'!$B$2:$B$301,B270)&lt;&gt;1,"合作ID未唯一匹配",IF(COUNTIFS($B$2:$B$301,B270,$C$2:$C$301,C270,$D$2:$D$301,D270,$E$2:$E$301,E270,$F$2:$F$301,F270)&gt;1,"窗口重复：应更新原行",IF(AND(AD270="是",COUNTIFS($B$2:$B$301,B270,$C$2:$C$301,C270,$D$2:$D$301,D270,$AD$2:$AD$301,"是")&gt;1),"重复汇总：同视频SKU仅选一行",IF(AND(AC270="已复盘",AD270="是",ISNUMBER(Y270),AE270&lt;&gt;""),"可汇总","观察中/未完成结算核对"))))))))</f>
        <v/>
      </c>
      <c r="AG270" s="9">
        <f>IF(C270="","",IF(OR(H270="",I270=""),"待补充",IF(COUNTIFS($C$2:$C$301,C270,$H$2:$H$301,H270,$I$2:$I$301,I270)&lt;&gt;COUNTIF($C$2:$C$301,C270),"请统一日期/负责人",IF(COUNTIF($C$2:C270,C270)=1,1,0))))</f>
        <v/>
      </c>
    </row>
    <row r="271" spans="25:33" ht="34" customHeight="1">
      <c r="Y271" s="10">
        <f>IF(A271="","",IF(COUNT(P271,R271:S271,U271:X271)&lt;7,"待补充",IF(MIN(P271,R271:S271,U271:X271)&lt;0,"检查输入",ROUND(P271-SUM(R271:S271)-SUM(U271:X271),4))))</f>
        <v/>
      </c>
      <c r="AF271" s="9">
        <f>IF(A271="","",IF(COUNTIF($A$2:$A$301,A271)&gt;1,"归因记录ID重复",IF(OR(B271="",C271="",D271="",H271="",COUNT(E271:G271)&lt;3,I271="",Z271=""),"待补归因/证据/日期",IF(F271&lt;E271,"窗口起止错误",IF(COUNTIF('达人线索与合作'!$B$2:$B$301,B271)&lt;&gt;1,"合作ID未唯一匹配",IF(COUNTIFS($B$2:$B$301,B271,$C$2:$C$301,C271,$D$2:$D$301,D271,$E$2:$E$301,E271,$F$2:$F$301,F271)&gt;1,"窗口重复：应更新原行",IF(AND(AD271="是",COUNTIFS($B$2:$B$301,B271,$C$2:$C$301,C271,$D$2:$D$301,D271,$AD$2:$AD$301,"是")&gt;1),"重复汇总：同视频SKU仅选一行",IF(AND(AC271="已复盘",AD271="是",ISNUMBER(Y271),AE271&lt;&gt;""),"可汇总","观察中/未完成结算核对"))))))))</f>
        <v/>
      </c>
      <c r="AG271" s="9">
        <f>IF(C271="","",IF(OR(H271="",I271=""),"待补充",IF(COUNTIFS($C$2:$C$301,C271,$H$2:$H$301,H271,$I$2:$I$301,I271)&lt;&gt;COUNTIF($C$2:$C$301,C271),"请统一日期/负责人",IF(COUNTIF($C$2:C271,C271)=1,1,0))))</f>
        <v/>
      </c>
    </row>
    <row r="272" spans="25:33" ht="34" customHeight="1">
      <c r="Y272" s="10">
        <f>IF(A272="","",IF(COUNT(P272,R272:S272,U272:X272)&lt;7,"待补充",IF(MIN(P272,R272:S272,U272:X272)&lt;0,"检查输入",ROUND(P272-SUM(R272:S272)-SUM(U272:X272),4))))</f>
        <v/>
      </c>
      <c r="AF272" s="9">
        <f>IF(A272="","",IF(COUNTIF($A$2:$A$301,A272)&gt;1,"归因记录ID重复",IF(OR(B272="",C272="",D272="",H272="",COUNT(E272:G272)&lt;3,I272="",Z272=""),"待补归因/证据/日期",IF(F272&lt;E272,"窗口起止错误",IF(COUNTIF('达人线索与合作'!$B$2:$B$301,B272)&lt;&gt;1,"合作ID未唯一匹配",IF(COUNTIFS($B$2:$B$301,B272,$C$2:$C$301,C272,$D$2:$D$301,D272,$E$2:$E$301,E272,$F$2:$F$301,F272)&gt;1,"窗口重复：应更新原行",IF(AND(AD272="是",COUNTIFS($B$2:$B$301,B272,$C$2:$C$301,C272,$D$2:$D$301,D272,$AD$2:$AD$301,"是")&gt;1),"重复汇总：同视频SKU仅选一行",IF(AND(AC272="已复盘",AD272="是",ISNUMBER(Y272),AE272&lt;&gt;""),"可汇总","观察中/未完成结算核对"))))))))</f>
        <v/>
      </c>
      <c r="AG272" s="9">
        <f>IF(C272="","",IF(OR(H272="",I272=""),"待补充",IF(COUNTIFS($C$2:$C$301,C272,$H$2:$H$301,H272,$I$2:$I$301,I272)&lt;&gt;COUNTIF($C$2:$C$301,C272),"请统一日期/负责人",IF(COUNTIF($C$2:C272,C272)=1,1,0))))</f>
        <v/>
      </c>
    </row>
    <row r="273" spans="25:33" ht="34" customHeight="1">
      <c r="Y273" s="10">
        <f>IF(A273="","",IF(COUNT(P273,R273:S273,U273:X273)&lt;7,"待补充",IF(MIN(P273,R273:S273,U273:X273)&lt;0,"检查输入",ROUND(P273-SUM(R273:S273)-SUM(U273:X273),4))))</f>
        <v/>
      </c>
      <c r="AF273" s="9">
        <f>IF(A273="","",IF(COUNTIF($A$2:$A$301,A273)&gt;1,"归因记录ID重复",IF(OR(B273="",C273="",D273="",H273="",COUNT(E273:G273)&lt;3,I273="",Z273=""),"待补归因/证据/日期",IF(F273&lt;E273,"窗口起止错误",IF(COUNTIF('达人线索与合作'!$B$2:$B$301,B273)&lt;&gt;1,"合作ID未唯一匹配",IF(COUNTIFS($B$2:$B$301,B273,$C$2:$C$301,C273,$D$2:$D$301,D273,$E$2:$E$301,E273,$F$2:$F$301,F273)&gt;1,"窗口重复：应更新原行",IF(AND(AD273="是",COUNTIFS($B$2:$B$301,B273,$C$2:$C$301,C273,$D$2:$D$301,D273,$AD$2:$AD$301,"是")&gt;1),"重复汇总：同视频SKU仅选一行",IF(AND(AC273="已复盘",AD273="是",ISNUMBER(Y273),AE273&lt;&gt;""),"可汇总","观察中/未完成结算核对"))))))))</f>
        <v/>
      </c>
      <c r="AG273" s="9">
        <f>IF(C273="","",IF(OR(H273="",I273=""),"待补充",IF(COUNTIFS($C$2:$C$301,C273,$H$2:$H$301,H273,$I$2:$I$301,I273)&lt;&gt;COUNTIF($C$2:$C$301,C273),"请统一日期/负责人",IF(COUNTIF($C$2:C273,C273)=1,1,0))))</f>
        <v/>
      </c>
    </row>
    <row r="274" spans="25:33" ht="34" customHeight="1">
      <c r="Y274" s="10">
        <f>IF(A274="","",IF(COUNT(P274,R274:S274,U274:X274)&lt;7,"待补充",IF(MIN(P274,R274:S274,U274:X274)&lt;0,"检查输入",ROUND(P274-SUM(R274:S274)-SUM(U274:X274),4))))</f>
        <v/>
      </c>
      <c r="AF274" s="9">
        <f>IF(A274="","",IF(COUNTIF($A$2:$A$301,A274)&gt;1,"归因记录ID重复",IF(OR(B274="",C274="",D274="",H274="",COUNT(E274:G274)&lt;3,I274="",Z274=""),"待补归因/证据/日期",IF(F274&lt;E274,"窗口起止错误",IF(COUNTIF('达人线索与合作'!$B$2:$B$301,B274)&lt;&gt;1,"合作ID未唯一匹配",IF(COUNTIFS($B$2:$B$301,B274,$C$2:$C$301,C274,$D$2:$D$301,D274,$E$2:$E$301,E274,$F$2:$F$301,F274)&gt;1,"窗口重复：应更新原行",IF(AND(AD274="是",COUNTIFS($B$2:$B$301,B274,$C$2:$C$301,C274,$D$2:$D$301,D274,$AD$2:$AD$301,"是")&gt;1),"重复汇总：同视频SKU仅选一行",IF(AND(AC274="已复盘",AD274="是",ISNUMBER(Y274),AE274&lt;&gt;""),"可汇总","观察中/未完成结算核对"))))))))</f>
        <v/>
      </c>
      <c r="AG274" s="9">
        <f>IF(C274="","",IF(OR(H274="",I274=""),"待补充",IF(COUNTIFS($C$2:$C$301,C274,$H$2:$H$301,H274,$I$2:$I$301,I274)&lt;&gt;COUNTIF($C$2:$C$301,C274),"请统一日期/负责人",IF(COUNTIF($C$2:C274,C274)=1,1,0))))</f>
        <v/>
      </c>
    </row>
    <row r="275" spans="25:33" ht="34" customHeight="1">
      <c r="Y275" s="10">
        <f>IF(A275="","",IF(COUNT(P275,R275:S275,U275:X275)&lt;7,"待补充",IF(MIN(P275,R275:S275,U275:X275)&lt;0,"检查输入",ROUND(P275-SUM(R275:S275)-SUM(U275:X275),4))))</f>
        <v/>
      </c>
      <c r="AF275" s="9">
        <f>IF(A275="","",IF(COUNTIF($A$2:$A$301,A275)&gt;1,"归因记录ID重复",IF(OR(B275="",C275="",D275="",H275="",COUNT(E275:G275)&lt;3,I275="",Z275=""),"待补归因/证据/日期",IF(F275&lt;E275,"窗口起止错误",IF(COUNTIF('达人线索与合作'!$B$2:$B$301,B275)&lt;&gt;1,"合作ID未唯一匹配",IF(COUNTIFS($B$2:$B$301,B275,$C$2:$C$301,C275,$D$2:$D$301,D275,$E$2:$E$301,E275,$F$2:$F$301,F275)&gt;1,"窗口重复：应更新原行",IF(AND(AD275="是",COUNTIFS($B$2:$B$301,B275,$C$2:$C$301,C275,$D$2:$D$301,D275,$AD$2:$AD$301,"是")&gt;1),"重复汇总：同视频SKU仅选一行",IF(AND(AC275="已复盘",AD275="是",ISNUMBER(Y275),AE275&lt;&gt;""),"可汇总","观察中/未完成结算核对"))))))))</f>
        <v/>
      </c>
      <c r="AG275" s="9">
        <f>IF(C275="","",IF(OR(H275="",I275=""),"待补充",IF(COUNTIFS($C$2:$C$301,C275,$H$2:$H$301,H275,$I$2:$I$301,I275)&lt;&gt;COUNTIF($C$2:$C$301,C275),"请统一日期/负责人",IF(COUNTIF($C$2:C275,C275)=1,1,0))))</f>
        <v/>
      </c>
    </row>
    <row r="276" spans="25:33" ht="34" customHeight="1">
      <c r="Y276" s="10">
        <f>IF(A276="","",IF(COUNT(P276,R276:S276,U276:X276)&lt;7,"待补充",IF(MIN(P276,R276:S276,U276:X276)&lt;0,"检查输入",ROUND(P276-SUM(R276:S276)-SUM(U276:X276),4))))</f>
        <v/>
      </c>
      <c r="AF276" s="9">
        <f>IF(A276="","",IF(COUNTIF($A$2:$A$301,A276)&gt;1,"归因记录ID重复",IF(OR(B276="",C276="",D276="",H276="",COUNT(E276:G276)&lt;3,I276="",Z276=""),"待补归因/证据/日期",IF(F276&lt;E276,"窗口起止错误",IF(COUNTIF('达人线索与合作'!$B$2:$B$301,B276)&lt;&gt;1,"合作ID未唯一匹配",IF(COUNTIFS($B$2:$B$301,B276,$C$2:$C$301,C276,$D$2:$D$301,D276,$E$2:$E$301,E276,$F$2:$F$301,F276)&gt;1,"窗口重复：应更新原行",IF(AND(AD276="是",COUNTIFS($B$2:$B$301,B276,$C$2:$C$301,C276,$D$2:$D$301,D276,$AD$2:$AD$301,"是")&gt;1),"重复汇总：同视频SKU仅选一行",IF(AND(AC276="已复盘",AD276="是",ISNUMBER(Y276),AE276&lt;&gt;""),"可汇总","观察中/未完成结算核对"))))))))</f>
        <v/>
      </c>
      <c r="AG276" s="9">
        <f>IF(C276="","",IF(OR(H276="",I276=""),"待补充",IF(COUNTIFS($C$2:$C$301,C276,$H$2:$H$301,H276,$I$2:$I$301,I276)&lt;&gt;COUNTIF($C$2:$C$301,C276),"请统一日期/负责人",IF(COUNTIF($C$2:C276,C276)=1,1,0))))</f>
        <v/>
      </c>
    </row>
    <row r="277" spans="25:33" ht="34" customHeight="1">
      <c r="Y277" s="10">
        <f>IF(A277="","",IF(COUNT(P277,R277:S277,U277:X277)&lt;7,"待补充",IF(MIN(P277,R277:S277,U277:X277)&lt;0,"检查输入",ROUND(P277-SUM(R277:S277)-SUM(U277:X277),4))))</f>
        <v/>
      </c>
      <c r="AF277" s="9">
        <f>IF(A277="","",IF(COUNTIF($A$2:$A$301,A277)&gt;1,"归因记录ID重复",IF(OR(B277="",C277="",D277="",H277="",COUNT(E277:G277)&lt;3,I277="",Z277=""),"待补归因/证据/日期",IF(F277&lt;E277,"窗口起止错误",IF(COUNTIF('达人线索与合作'!$B$2:$B$301,B277)&lt;&gt;1,"合作ID未唯一匹配",IF(COUNTIFS($B$2:$B$301,B277,$C$2:$C$301,C277,$D$2:$D$301,D277,$E$2:$E$301,E277,$F$2:$F$301,F277)&gt;1,"窗口重复：应更新原行",IF(AND(AD277="是",COUNTIFS($B$2:$B$301,B277,$C$2:$C$301,C277,$D$2:$D$301,D277,$AD$2:$AD$301,"是")&gt;1),"重复汇总：同视频SKU仅选一行",IF(AND(AC277="已复盘",AD277="是",ISNUMBER(Y277),AE277&lt;&gt;""),"可汇总","观察中/未完成结算核对"))))))))</f>
        <v/>
      </c>
      <c r="AG277" s="9">
        <f>IF(C277="","",IF(OR(H277="",I277=""),"待补充",IF(COUNTIFS($C$2:$C$301,C277,$H$2:$H$301,H277,$I$2:$I$301,I277)&lt;&gt;COUNTIF($C$2:$C$301,C277),"请统一日期/负责人",IF(COUNTIF($C$2:C277,C277)=1,1,0))))</f>
        <v/>
      </c>
    </row>
    <row r="278" spans="25:33" ht="34" customHeight="1">
      <c r="Y278" s="10">
        <f>IF(A278="","",IF(COUNT(P278,R278:S278,U278:X278)&lt;7,"待补充",IF(MIN(P278,R278:S278,U278:X278)&lt;0,"检查输入",ROUND(P278-SUM(R278:S278)-SUM(U278:X278),4))))</f>
        <v/>
      </c>
      <c r="AF278" s="9">
        <f>IF(A278="","",IF(COUNTIF($A$2:$A$301,A278)&gt;1,"归因记录ID重复",IF(OR(B278="",C278="",D278="",H278="",COUNT(E278:G278)&lt;3,I278="",Z278=""),"待补归因/证据/日期",IF(F278&lt;E278,"窗口起止错误",IF(COUNTIF('达人线索与合作'!$B$2:$B$301,B278)&lt;&gt;1,"合作ID未唯一匹配",IF(COUNTIFS($B$2:$B$301,B278,$C$2:$C$301,C278,$D$2:$D$301,D278,$E$2:$E$301,E278,$F$2:$F$301,F278)&gt;1,"窗口重复：应更新原行",IF(AND(AD278="是",COUNTIFS($B$2:$B$301,B278,$C$2:$C$301,C278,$D$2:$D$301,D278,$AD$2:$AD$301,"是")&gt;1),"重复汇总：同视频SKU仅选一行",IF(AND(AC278="已复盘",AD278="是",ISNUMBER(Y278),AE278&lt;&gt;""),"可汇总","观察中/未完成结算核对"))))))))</f>
        <v/>
      </c>
      <c r="AG278" s="9">
        <f>IF(C278="","",IF(OR(H278="",I278=""),"待补充",IF(COUNTIFS($C$2:$C$301,C278,$H$2:$H$301,H278,$I$2:$I$301,I278)&lt;&gt;COUNTIF($C$2:$C$301,C278),"请统一日期/负责人",IF(COUNTIF($C$2:C278,C278)=1,1,0))))</f>
        <v/>
      </c>
    </row>
    <row r="279" spans="25:33" ht="34" customHeight="1">
      <c r="Y279" s="10">
        <f>IF(A279="","",IF(COUNT(P279,R279:S279,U279:X279)&lt;7,"待补充",IF(MIN(P279,R279:S279,U279:X279)&lt;0,"检查输入",ROUND(P279-SUM(R279:S279)-SUM(U279:X279),4))))</f>
        <v/>
      </c>
      <c r="AF279" s="9">
        <f>IF(A279="","",IF(COUNTIF($A$2:$A$301,A279)&gt;1,"归因记录ID重复",IF(OR(B279="",C279="",D279="",H279="",COUNT(E279:G279)&lt;3,I279="",Z279=""),"待补归因/证据/日期",IF(F279&lt;E279,"窗口起止错误",IF(COUNTIF('达人线索与合作'!$B$2:$B$301,B279)&lt;&gt;1,"合作ID未唯一匹配",IF(COUNTIFS($B$2:$B$301,B279,$C$2:$C$301,C279,$D$2:$D$301,D279,$E$2:$E$301,E279,$F$2:$F$301,F279)&gt;1,"窗口重复：应更新原行",IF(AND(AD279="是",COUNTIFS($B$2:$B$301,B279,$C$2:$C$301,C279,$D$2:$D$301,D279,$AD$2:$AD$301,"是")&gt;1),"重复汇总：同视频SKU仅选一行",IF(AND(AC279="已复盘",AD279="是",ISNUMBER(Y279),AE279&lt;&gt;""),"可汇总","观察中/未完成结算核对"))))))))</f>
        <v/>
      </c>
      <c r="AG279" s="9">
        <f>IF(C279="","",IF(OR(H279="",I279=""),"待补充",IF(COUNTIFS($C$2:$C$301,C279,$H$2:$H$301,H279,$I$2:$I$301,I279)&lt;&gt;COUNTIF($C$2:$C$301,C279),"请统一日期/负责人",IF(COUNTIF($C$2:C279,C279)=1,1,0))))</f>
        <v/>
      </c>
    </row>
    <row r="280" spans="25:33" ht="34" customHeight="1">
      <c r="Y280" s="10">
        <f>IF(A280="","",IF(COUNT(P280,R280:S280,U280:X280)&lt;7,"待补充",IF(MIN(P280,R280:S280,U280:X280)&lt;0,"检查输入",ROUND(P280-SUM(R280:S280)-SUM(U280:X280),4))))</f>
        <v/>
      </c>
      <c r="AF280" s="9">
        <f>IF(A280="","",IF(COUNTIF($A$2:$A$301,A280)&gt;1,"归因记录ID重复",IF(OR(B280="",C280="",D280="",H280="",COUNT(E280:G280)&lt;3,I280="",Z280=""),"待补归因/证据/日期",IF(F280&lt;E280,"窗口起止错误",IF(COUNTIF('达人线索与合作'!$B$2:$B$301,B280)&lt;&gt;1,"合作ID未唯一匹配",IF(COUNTIFS($B$2:$B$301,B280,$C$2:$C$301,C280,$D$2:$D$301,D280,$E$2:$E$301,E280,$F$2:$F$301,F280)&gt;1,"窗口重复：应更新原行",IF(AND(AD280="是",COUNTIFS($B$2:$B$301,B280,$C$2:$C$301,C280,$D$2:$D$301,D280,$AD$2:$AD$301,"是")&gt;1),"重复汇总：同视频SKU仅选一行",IF(AND(AC280="已复盘",AD280="是",ISNUMBER(Y280),AE280&lt;&gt;""),"可汇总","观察中/未完成结算核对"))))))))</f>
        <v/>
      </c>
      <c r="AG280" s="9">
        <f>IF(C280="","",IF(OR(H280="",I280=""),"待补充",IF(COUNTIFS($C$2:$C$301,C280,$H$2:$H$301,H280,$I$2:$I$301,I280)&lt;&gt;COUNTIF($C$2:$C$301,C280),"请统一日期/负责人",IF(COUNTIF($C$2:C280,C280)=1,1,0))))</f>
        <v/>
      </c>
    </row>
    <row r="281" spans="25:33" ht="34" customHeight="1">
      <c r="Y281" s="10">
        <f>IF(A281="","",IF(COUNT(P281,R281:S281,U281:X281)&lt;7,"待补充",IF(MIN(P281,R281:S281,U281:X281)&lt;0,"检查输入",ROUND(P281-SUM(R281:S281)-SUM(U281:X281),4))))</f>
        <v/>
      </c>
      <c r="AF281" s="9">
        <f>IF(A281="","",IF(COUNTIF($A$2:$A$301,A281)&gt;1,"归因记录ID重复",IF(OR(B281="",C281="",D281="",H281="",COUNT(E281:G281)&lt;3,I281="",Z281=""),"待补归因/证据/日期",IF(F281&lt;E281,"窗口起止错误",IF(COUNTIF('达人线索与合作'!$B$2:$B$301,B281)&lt;&gt;1,"合作ID未唯一匹配",IF(COUNTIFS($B$2:$B$301,B281,$C$2:$C$301,C281,$D$2:$D$301,D281,$E$2:$E$301,E281,$F$2:$F$301,F281)&gt;1,"窗口重复：应更新原行",IF(AND(AD281="是",COUNTIFS($B$2:$B$301,B281,$C$2:$C$301,C281,$D$2:$D$301,D281,$AD$2:$AD$301,"是")&gt;1),"重复汇总：同视频SKU仅选一行",IF(AND(AC281="已复盘",AD281="是",ISNUMBER(Y281),AE281&lt;&gt;""),"可汇总","观察中/未完成结算核对"))))))))</f>
        <v/>
      </c>
      <c r="AG281" s="9">
        <f>IF(C281="","",IF(OR(H281="",I281=""),"待补充",IF(COUNTIFS($C$2:$C$301,C281,$H$2:$H$301,H281,$I$2:$I$301,I281)&lt;&gt;COUNTIF($C$2:$C$301,C281),"请统一日期/负责人",IF(COUNTIF($C$2:C281,C281)=1,1,0))))</f>
        <v/>
      </c>
    </row>
    <row r="282" spans="25:33" ht="34" customHeight="1">
      <c r="Y282" s="10">
        <f>IF(A282="","",IF(COUNT(P282,R282:S282,U282:X282)&lt;7,"待补充",IF(MIN(P282,R282:S282,U282:X282)&lt;0,"检查输入",ROUND(P282-SUM(R282:S282)-SUM(U282:X282),4))))</f>
        <v/>
      </c>
      <c r="AF282" s="9">
        <f>IF(A282="","",IF(COUNTIF($A$2:$A$301,A282)&gt;1,"归因记录ID重复",IF(OR(B282="",C282="",D282="",H282="",COUNT(E282:G282)&lt;3,I282="",Z282=""),"待补归因/证据/日期",IF(F282&lt;E282,"窗口起止错误",IF(COUNTIF('达人线索与合作'!$B$2:$B$301,B282)&lt;&gt;1,"合作ID未唯一匹配",IF(COUNTIFS($B$2:$B$301,B282,$C$2:$C$301,C282,$D$2:$D$301,D282,$E$2:$E$301,E282,$F$2:$F$301,F282)&gt;1,"窗口重复：应更新原行",IF(AND(AD282="是",COUNTIFS($B$2:$B$301,B282,$C$2:$C$301,C282,$D$2:$D$301,D282,$AD$2:$AD$301,"是")&gt;1),"重复汇总：同视频SKU仅选一行",IF(AND(AC282="已复盘",AD282="是",ISNUMBER(Y282),AE282&lt;&gt;""),"可汇总","观察中/未完成结算核对"))))))))</f>
        <v/>
      </c>
      <c r="AG282" s="9">
        <f>IF(C282="","",IF(OR(H282="",I282=""),"待补充",IF(COUNTIFS($C$2:$C$301,C282,$H$2:$H$301,H282,$I$2:$I$301,I282)&lt;&gt;COUNTIF($C$2:$C$301,C282),"请统一日期/负责人",IF(COUNTIF($C$2:C282,C282)=1,1,0))))</f>
        <v/>
      </c>
    </row>
    <row r="283" spans="25:33" ht="34" customHeight="1">
      <c r="Y283" s="10">
        <f>IF(A283="","",IF(COUNT(P283,R283:S283,U283:X283)&lt;7,"待补充",IF(MIN(P283,R283:S283,U283:X283)&lt;0,"检查输入",ROUND(P283-SUM(R283:S283)-SUM(U283:X283),4))))</f>
        <v/>
      </c>
      <c r="AF283" s="9">
        <f>IF(A283="","",IF(COUNTIF($A$2:$A$301,A283)&gt;1,"归因记录ID重复",IF(OR(B283="",C283="",D283="",H283="",COUNT(E283:G283)&lt;3,I283="",Z283=""),"待补归因/证据/日期",IF(F283&lt;E283,"窗口起止错误",IF(COUNTIF('达人线索与合作'!$B$2:$B$301,B283)&lt;&gt;1,"合作ID未唯一匹配",IF(COUNTIFS($B$2:$B$301,B283,$C$2:$C$301,C283,$D$2:$D$301,D283,$E$2:$E$301,E283,$F$2:$F$301,F283)&gt;1,"窗口重复：应更新原行",IF(AND(AD283="是",COUNTIFS($B$2:$B$301,B283,$C$2:$C$301,C283,$D$2:$D$301,D283,$AD$2:$AD$301,"是")&gt;1),"重复汇总：同视频SKU仅选一行",IF(AND(AC283="已复盘",AD283="是",ISNUMBER(Y283),AE283&lt;&gt;""),"可汇总","观察中/未完成结算核对"))))))))</f>
        <v/>
      </c>
      <c r="AG283" s="9">
        <f>IF(C283="","",IF(OR(H283="",I283=""),"待补充",IF(COUNTIFS($C$2:$C$301,C283,$H$2:$H$301,H283,$I$2:$I$301,I283)&lt;&gt;COUNTIF($C$2:$C$301,C283),"请统一日期/负责人",IF(COUNTIF($C$2:C283,C283)=1,1,0))))</f>
        <v/>
      </c>
    </row>
    <row r="284" spans="25:33" ht="34" customHeight="1">
      <c r="Y284" s="10">
        <f>IF(A284="","",IF(COUNT(P284,R284:S284,U284:X284)&lt;7,"待补充",IF(MIN(P284,R284:S284,U284:X284)&lt;0,"检查输入",ROUND(P284-SUM(R284:S284)-SUM(U284:X284),4))))</f>
        <v/>
      </c>
      <c r="AF284" s="9">
        <f>IF(A284="","",IF(COUNTIF($A$2:$A$301,A284)&gt;1,"归因记录ID重复",IF(OR(B284="",C284="",D284="",H284="",COUNT(E284:G284)&lt;3,I284="",Z284=""),"待补归因/证据/日期",IF(F284&lt;E284,"窗口起止错误",IF(COUNTIF('达人线索与合作'!$B$2:$B$301,B284)&lt;&gt;1,"合作ID未唯一匹配",IF(COUNTIFS($B$2:$B$301,B284,$C$2:$C$301,C284,$D$2:$D$301,D284,$E$2:$E$301,E284,$F$2:$F$301,F284)&gt;1,"窗口重复：应更新原行",IF(AND(AD284="是",COUNTIFS($B$2:$B$301,B284,$C$2:$C$301,C284,$D$2:$D$301,D284,$AD$2:$AD$301,"是")&gt;1),"重复汇总：同视频SKU仅选一行",IF(AND(AC284="已复盘",AD284="是",ISNUMBER(Y284),AE284&lt;&gt;""),"可汇总","观察中/未完成结算核对"))))))))</f>
        <v/>
      </c>
      <c r="AG284" s="9">
        <f>IF(C284="","",IF(OR(H284="",I284=""),"待补充",IF(COUNTIFS($C$2:$C$301,C284,$H$2:$H$301,H284,$I$2:$I$301,I284)&lt;&gt;COUNTIF($C$2:$C$301,C284),"请统一日期/负责人",IF(COUNTIF($C$2:C284,C284)=1,1,0))))</f>
        <v/>
      </c>
    </row>
    <row r="285" spans="25:33" ht="34" customHeight="1">
      <c r="Y285" s="10">
        <f>IF(A285="","",IF(COUNT(P285,R285:S285,U285:X285)&lt;7,"待补充",IF(MIN(P285,R285:S285,U285:X285)&lt;0,"检查输入",ROUND(P285-SUM(R285:S285)-SUM(U285:X285),4))))</f>
        <v/>
      </c>
      <c r="AF285" s="9">
        <f>IF(A285="","",IF(COUNTIF($A$2:$A$301,A285)&gt;1,"归因记录ID重复",IF(OR(B285="",C285="",D285="",H285="",COUNT(E285:G285)&lt;3,I285="",Z285=""),"待补归因/证据/日期",IF(F285&lt;E285,"窗口起止错误",IF(COUNTIF('达人线索与合作'!$B$2:$B$301,B285)&lt;&gt;1,"合作ID未唯一匹配",IF(COUNTIFS($B$2:$B$301,B285,$C$2:$C$301,C285,$D$2:$D$301,D285,$E$2:$E$301,E285,$F$2:$F$301,F285)&gt;1,"窗口重复：应更新原行",IF(AND(AD285="是",COUNTIFS($B$2:$B$301,B285,$C$2:$C$301,C285,$D$2:$D$301,D285,$AD$2:$AD$301,"是")&gt;1),"重复汇总：同视频SKU仅选一行",IF(AND(AC285="已复盘",AD285="是",ISNUMBER(Y285),AE285&lt;&gt;""),"可汇总","观察中/未完成结算核对"))))))))</f>
        <v/>
      </c>
      <c r="AG285" s="9">
        <f>IF(C285="","",IF(OR(H285="",I285=""),"待补充",IF(COUNTIFS($C$2:$C$301,C285,$H$2:$H$301,H285,$I$2:$I$301,I285)&lt;&gt;COUNTIF($C$2:$C$301,C285),"请统一日期/负责人",IF(COUNTIF($C$2:C285,C285)=1,1,0))))</f>
        <v/>
      </c>
    </row>
    <row r="286" spans="25:33" ht="34" customHeight="1">
      <c r="Y286" s="10">
        <f>IF(A286="","",IF(COUNT(P286,R286:S286,U286:X286)&lt;7,"待补充",IF(MIN(P286,R286:S286,U286:X286)&lt;0,"检查输入",ROUND(P286-SUM(R286:S286)-SUM(U286:X286),4))))</f>
        <v/>
      </c>
      <c r="AF286" s="9">
        <f>IF(A286="","",IF(COUNTIF($A$2:$A$301,A286)&gt;1,"归因记录ID重复",IF(OR(B286="",C286="",D286="",H286="",COUNT(E286:G286)&lt;3,I286="",Z286=""),"待补归因/证据/日期",IF(F286&lt;E286,"窗口起止错误",IF(COUNTIF('达人线索与合作'!$B$2:$B$301,B286)&lt;&gt;1,"合作ID未唯一匹配",IF(COUNTIFS($B$2:$B$301,B286,$C$2:$C$301,C286,$D$2:$D$301,D286,$E$2:$E$301,E286,$F$2:$F$301,F286)&gt;1,"窗口重复：应更新原行",IF(AND(AD286="是",COUNTIFS($B$2:$B$301,B286,$C$2:$C$301,C286,$D$2:$D$301,D286,$AD$2:$AD$301,"是")&gt;1),"重复汇总：同视频SKU仅选一行",IF(AND(AC286="已复盘",AD286="是",ISNUMBER(Y286),AE286&lt;&gt;""),"可汇总","观察中/未完成结算核对"))))))))</f>
        <v/>
      </c>
      <c r="AG286" s="9">
        <f>IF(C286="","",IF(OR(H286="",I286=""),"待补充",IF(COUNTIFS($C$2:$C$301,C286,$H$2:$H$301,H286,$I$2:$I$301,I286)&lt;&gt;COUNTIF($C$2:$C$301,C286),"请统一日期/负责人",IF(COUNTIF($C$2:C286,C286)=1,1,0))))</f>
        <v/>
      </c>
    </row>
    <row r="287" spans="25:33" ht="34" customHeight="1">
      <c r="Y287" s="10">
        <f>IF(A287="","",IF(COUNT(P287,R287:S287,U287:X287)&lt;7,"待补充",IF(MIN(P287,R287:S287,U287:X287)&lt;0,"检查输入",ROUND(P287-SUM(R287:S287)-SUM(U287:X287),4))))</f>
        <v/>
      </c>
      <c r="AF287" s="9">
        <f>IF(A287="","",IF(COUNTIF($A$2:$A$301,A287)&gt;1,"归因记录ID重复",IF(OR(B287="",C287="",D287="",H287="",COUNT(E287:G287)&lt;3,I287="",Z287=""),"待补归因/证据/日期",IF(F287&lt;E287,"窗口起止错误",IF(COUNTIF('达人线索与合作'!$B$2:$B$301,B287)&lt;&gt;1,"合作ID未唯一匹配",IF(COUNTIFS($B$2:$B$301,B287,$C$2:$C$301,C287,$D$2:$D$301,D287,$E$2:$E$301,E287,$F$2:$F$301,F287)&gt;1,"窗口重复：应更新原行",IF(AND(AD287="是",COUNTIFS($B$2:$B$301,B287,$C$2:$C$301,C287,$D$2:$D$301,D287,$AD$2:$AD$301,"是")&gt;1),"重复汇总：同视频SKU仅选一行",IF(AND(AC287="已复盘",AD287="是",ISNUMBER(Y287),AE287&lt;&gt;""),"可汇总","观察中/未完成结算核对"))))))))</f>
        <v/>
      </c>
      <c r="AG287" s="9">
        <f>IF(C287="","",IF(OR(H287="",I287=""),"待补充",IF(COUNTIFS($C$2:$C$301,C287,$H$2:$H$301,H287,$I$2:$I$301,I287)&lt;&gt;COUNTIF($C$2:$C$301,C287),"请统一日期/负责人",IF(COUNTIF($C$2:C287,C287)=1,1,0))))</f>
        <v/>
      </c>
    </row>
    <row r="288" spans="25:33" ht="34" customHeight="1">
      <c r="Y288" s="10">
        <f>IF(A288="","",IF(COUNT(P288,R288:S288,U288:X288)&lt;7,"待补充",IF(MIN(P288,R288:S288,U288:X288)&lt;0,"检查输入",ROUND(P288-SUM(R288:S288)-SUM(U288:X288),4))))</f>
        <v/>
      </c>
      <c r="AF288" s="9">
        <f>IF(A288="","",IF(COUNTIF($A$2:$A$301,A288)&gt;1,"归因记录ID重复",IF(OR(B288="",C288="",D288="",H288="",COUNT(E288:G288)&lt;3,I288="",Z288=""),"待补归因/证据/日期",IF(F288&lt;E288,"窗口起止错误",IF(COUNTIF('达人线索与合作'!$B$2:$B$301,B288)&lt;&gt;1,"合作ID未唯一匹配",IF(COUNTIFS($B$2:$B$301,B288,$C$2:$C$301,C288,$D$2:$D$301,D288,$E$2:$E$301,E288,$F$2:$F$301,F288)&gt;1,"窗口重复：应更新原行",IF(AND(AD288="是",COUNTIFS($B$2:$B$301,B288,$C$2:$C$301,C288,$D$2:$D$301,D288,$AD$2:$AD$301,"是")&gt;1),"重复汇总：同视频SKU仅选一行",IF(AND(AC288="已复盘",AD288="是",ISNUMBER(Y288),AE288&lt;&gt;""),"可汇总","观察中/未完成结算核对"))))))))</f>
        <v/>
      </c>
      <c r="AG288" s="9">
        <f>IF(C288="","",IF(OR(H288="",I288=""),"待补充",IF(COUNTIFS($C$2:$C$301,C288,$H$2:$H$301,H288,$I$2:$I$301,I288)&lt;&gt;COUNTIF($C$2:$C$301,C288),"请统一日期/负责人",IF(COUNTIF($C$2:C288,C288)=1,1,0))))</f>
        <v/>
      </c>
    </row>
    <row r="289" spans="25:33" ht="34" customHeight="1">
      <c r="Y289" s="10">
        <f>IF(A289="","",IF(COUNT(P289,R289:S289,U289:X289)&lt;7,"待补充",IF(MIN(P289,R289:S289,U289:X289)&lt;0,"检查输入",ROUND(P289-SUM(R289:S289)-SUM(U289:X289),4))))</f>
        <v/>
      </c>
      <c r="AF289" s="9">
        <f>IF(A289="","",IF(COUNTIF($A$2:$A$301,A289)&gt;1,"归因记录ID重复",IF(OR(B289="",C289="",D289="",H289="",COUNT(E289:G289)&lt;3,I289="",Z289=""),"待补归因/证据/日期",IF(F289&lt;E289,"窗口起止错误",IF(COUNTIF('达人线索与合作'!$B$2:$B$301,B289)&lt;&gt;1,"合作ID未唯一匹配",IF(COUNTIFS($B$2:$B$301,B289,$C$2:$C$301,C289,$D$2:$D$301,D289,$E$2:$E$301,E289,$F$2:$F$301,F289)&gt;1,"窗口重复：应更新原行",IF(AND(AD289="是",COUNTIFS($B$2:$B$301,B289,$C$2:$C$301,C289,$D$2:$D$301,D289,$AD$2:$AD$301,"是")&gt;1),"重复汇总：同视频SKU仅选一行",IF(AND(AC289="已复盘",AD289="是",ISNUMBER(Y289),AE289&lt;&gt;""),"可汇总","观察中/未完成结算核对"))))))))</f>
        <v/>
      </c>
      <c r="AG289" s="9">
        <f>IF(C289="","",IF(OR(H289="",I289=""),"待补充",IF(COUNTIFS($C$2:$C$301,C289,$H$2:$H$301,H289,$I$2:$I$301,I289)&lt;&gt;COUNTIF($C$2:$C$301,C289),"请统一日期/负责人",IF(COUNTIF($C$2:C289,C289)=1,1,0))))</f>
        <v/>
      </c>
    </row>
    <row r="290" spans="25:33" ht="34" customHeight="1">
      <c r="Y290" s="10">
        <f>IF(A290="","",IF(COUNT(P290,R290:S290,U290:X290)&lt;7,"待补充",IF(MIN(P290,R290:S290,U290:X290)&lt;0,"检查输入",ROUND(P290-SUM(R290:S290)-SUM(U290:X290),4))))</f>
        <v/>
      </c>
      <c r="AF290" s="9">
        <f>IF(A290="","",IF(COUNTIF($A$2:$A$301,A290)&gt;1,"归因记录ID重复",IF(OR(B290="",C290="",D290="",H290="",COUNT(E290:G290)&lt;3,I290="",Z290=""),"待补归因/证据/日期",IF(F290&lt;E290,"窗口起止错误",IF(COUNTIF('达人线索与合作'!$B$2:$B$301,B290)&lt;&gt;1,"合作ID未唯一匹配",IF(COUNTIFS($B$2:$B$301,B290,$C$2:$C$301,C290,$D$2:$D$301,D290,$E$2:$E$301,E290,$F$2:$F$301,F290)&gt;1,"窗口重复：应更新原行",IF(AND(AD290="是",COUNTIFS($B$2:$B$301,B290,$C$2:$C$301,C290,$D$2:$D$301,D290,$AD$2:$AD$301,"是")&gt;1),"重复汇总：同视频SKU仅选一行",IF(AND(AC290="已复盘",AD290="是",ISNUMBER(Y290),AE290&lt;&gt;""),"可汇总","观察中/未完成结算核对"))))))))</f>
        <v/>
      </c>
      <c r="AG290" s="9">
        <f>IF(C290="","",IF(OR(H290="",I290=""),"待补充",IF(COUNTIFS($C$2:$C$301,C290,$H$2:$H$301,H290,$I$2:$I$301,I290)&lt;&gt;COUNTIF($C$2:$C$301,C290),"请统一日期/负责人",IF(COUNTIF($C$2:C290,C290)=1,1,0))))</f>
        <v/>
      </c>
    </row>
    <row r="291" spans="25:33" ht="34" customHeight="1">
      <c r="Y291" s="10">
        <f>IF(A291="","",IF(COUNT(P291,R291:S291,U291:X291)&lt;7,"待补充",IF(MIN(P291,R291:S291,U291:X291)&lt;0,"检查输入",ROUND(P291-SUM(R291:S291)-SUM(U291:X291),4))))</f>
        <v/>
      </c>
      <c r="AF291" s="9">
        <f>IF(A291="","",IF(COUNTIF($A$2:$A$301,A291)&gt;1,"归因记录ID重复",IF(OR(B291="",C291="",D291="",H291="",COUNT(E291:G291)&lt;3,I291="",Z291=""),"待补归因/证据/日期",IF(F291&lt;E291,"窗口起止错误",IF(COUNTIF('达人线索与合作'!$B$2:$B$301,B291)&lt;&gt;1,"合作ID未唯一匹配",IF(COUNTIFS($B$2:$B$301,B291,$C$2:$C$301,C291,$D$2:$D$301,D291,$E$2:$E$301,E291,$F$2:$F$301,F291)&gt;1,"窗口重复：应更新原行",IF(AND(AD291="是",COUNTIFS($B$2:$B$301,B291,$C$2:$C$301,C291,$D$2:$D$301,D291,$AD$2:$AD$301,"是")&gt;1),"重复汇总：同视频SKU仅选一行",IF(AND(AC291="已复盘",AD291="是",ISNUMBER(Y291),AE291&lt;&gt;""),"可汇总","观察中/未完成结算核对"))))))))</f>
        <v/>
      </c>
      <c r="AG291" s="9">
        <f>IF(C291="","",IF(OR(H291="",I291=""),"待补充",IF(COUNTIFS($C$2:$C$301,C291,$H$2:$H$301,H291,$I$2:$I$301,I291)&lt;&gt;COUNTIF($C$2:$C$301,C291),"请统一日期/负责人",IF(COUNTIF($C$2:C291,C291)=1,1,0))))</f>
        <v/>
      </c>
    </row>
    <row r="292" spans="25:33" ht="34" customHeight="1">
      <c r="Y292" s="10">
        <f>IF(A292="","",IF(COUNT(P292,R292:S292,U292:X292)&lt;7,"待补充",IF(MIN(P292,R292:S292,U292:X292)&lt;0,"检查输入",ROUND(P292-SUM(R292:S292)-SUM(U292:X292),4))))</f>
        <v/>
      </c>
      <c r="AF292" s="9">
        <f>IF(A292="","",IF(COUNTIF($A$2:$A$301,A292)&gt;1,"归因记录ID重复",IF(OR(B292="",C292="",D292="",H292="",COUNT(E292:G292)&lt;3,I292="",Z292=""),"待补归因/证据/日期",IF(F292&lt;E292,"窗口起止错误",IF(COUNTIF('达人线索与合作'!$B$2:$B$301,B292)&lt;&gt;1,"合作ID未唯一匹配",IF(COUNTIFS($B$2:$B$301,B292,$C$2:$C$301,C292,$D$2:$D$301,D292,$E$2:$E$301,E292,$F$2:$F$301,F292)&gt;1,"窗口重复：应更新原行",IF(AND(AD292="是",COUNTIFS($B$2:$B$301,B292,$C$2:$C$301,C292,$D$2:$D$301,D292,$AD$2:$AD$301,"是")&gt;1),"重复汇总：同视频SKU仅选一行",IF(AND(AC292="已复盘",AD292="是",ISNUMBER(Y292),AE292&lt;&gt;""),"可汇总","观察中/未完成结算核对"))))))))</f>
        <v/>
      </c>
      <c r="AG292" s="9">
        <f>IF(C292="","",IF(OR(H292="",I292=""),"待补充",IF(COUNTIFS($C$2:$C$301,C292,$H$2:$H$301,H292,$I$2:$I$301,I292)&lt;&gt;COUNTIF($C$2:$C$301,C292),"请统一日期/负责人",IF(COUNTIF($C$2:C292,C292)=1,1,0))))</f>
        <v/>
      </c>
    </row>
    <row r="293" spans="25:33" ht="34" customHeight="1">
      <c r="Y293" s="10">
        <f>IF(A293="","",IF(COUNT(P293,R293:S293,U293:X293)&lt;7,"待补充",IF(MIN(P293,R293:S293,U293:X293)&lt;0,"检查输入",ROUND(P293-SUM(R293:S293)-SUM(U293:X293),4))))</f>
        <v/>
      </c>
      <c r="AF293" s="9">
        <f>IF(A293="","",IF(COUNTIF($A$2:$A$301,A293)&gt;1,"归因记录ID重复",IF(OR(B293="",C293="",D293="",H293="",COUNT(E293:G293)&lt;3,I293="",Z293=""),"待补归因/证据/日期",IF(F293&lt;E293,"窗口起止错误",IF(COUNTIF('达人线索与合作'!$B$2:$B$301,B293)&lt;&gt;1,"合作ID未唯一匹配",IF(COUNTIFS($B$2:$B$301,B293,$C$2:$C$301,C293,$D$2:$D$301,D293,$E$2:$E$301,E293,$F$2:$F$301,F293)&gt;1,"窗口重复：应更新原行",IF(AND(AD293="是",COUNTIFS($B$2:$B$301,B293,$C$2:$C$301,C293,$D$2:$D$301,D293,$AD$2:$AD$301,"是")&gt;1),"重复汇总：同视频SKU仅选一行",IF(AND(AC293="已复盘",AD293="是",ISNUMBER(Y293),AE293&lt;&gt;""),"可汇总","观察中/未完成结算核对"))))))))</f>
        <v/>
      </c>
      <c r="AG293" s="9">
        <f>IF(C293="","",IF(OR(H293="",I293=""),"待补充",IF(COUNTIFS($C$2:$C$301,C293,$H$2:$H$301,H293,$I$2:$I$301,I293)&lt;&gt;COUNTIF($C$2:$C$301,C293),"请统一日期/负责人",IF(COUNTIF($C$2:C293,C293)=1,1,0))))</f>
        <v/>
      </c>
    </row>
    <row r="294" spans="25:33" ht="34" customHeight="1">
      <c r="Y294" s="10">
        <f>IF(A294="","",IF(COUNT(P294,R294:S294,U294:X294)&lt;7,"待补充",IF(MIN(P294,R294:S294,U294:X294)&lt;0,"检查输入",ROUND(P294-SUM(R294:S294)-SUM(U294:X294),4))))</f>
        <v/>
      </c>
      <c r="AF294" s="9">
        <f>IF(A294="","",IF(COUNTIF($A$2:$A$301,A294)&gt;1,"归因记录ID重复",IF(OR(B294="",C294="",D294="",H294="",COUNT(E294:G294)&lt;3,I294="",Z294=""),"待补归因/证据/日期",IF(F294&lt;E294,"窗口起止错误",IF(COUNTIF('达人线索与合作'!$B$2:$B$301,B294)&lt;&gt;1,"合作ID未唯一匹配",IF(COUNTIFS($B$2:$B$301,B294,$C$2:$C$301,C294,$D$2:$D$301,D294,$E$2:$E$301,E294,$F$2:$F$301,F294)&gt;1,"窗口重复：应更新原行",IF(AND(AD294="是",COUNTIFS($B$2:$B$301,B294,$C$2:$C$301,C294,$D$2:$D$301,D294,$AD$2:$AD$301,"是")&gt;1),"重复汇总：同视频SKU仅选一行",IF(AND(AC294="已复盘",AD294="是",ISNUMBER(Y294),AE294&lt;&gt;""),"可汇总","观察中/未完成结算核对"))))))))</f>
        <v/>
      </c>
      <c r="AG294" s="9">
        <f>IF(C294="","",IF(OR(H294="",I294=""),"待补充",IF(COUNTIFS($C$2:$C$301,C294,$H$2:$H$301,H294,$I$2:$I$301,I294)&lt;&gt;COUNTIF($C$2:$C$301,C294),"请统一日期/负责人",IF(COUNTIF($C$2:C294,C294)=1,1,0))))</f>
        <v/>
      </c>
    </row>
    <row r="295" spans="25:33" ht="34" customHeight="1">
      <c r="Y295" s="10">
        <f>IF(A295="","",IF(COUNT(P295,R295:S295,U295:X295)&lt;7,"待补充",IF(MIN(P295,R295:S295,U295:X295)&lt;0,"检查输入",ROUND(P295-SUM(R295:S295)-SUM(U295:X295),4))))</f>
        <v/>
      </c>
      <c r="AF295" s="9">
        <f>IF(A295="","",IF(COUNTIF($A$2:$A$301,A295)&gt;1,"归因记录ID重复",IF(OR(B295="",C295="",D295="",H295="",COUNT(E295:G295)&lt;3,I295="",Z295=""),"待补归因/证据/日期",IF(F295&lt;E295,"窗口起止错误",IF(COUNTIF('达人线索与合作'!$B$2:$B$301,B295)&lt;&gt;1,"合作ID未唯一匹配",IF(COUNTIFS($B$2:$B$301,B295,$C$2:$C$301,C295,$D$2:$D$301,D295,$E$2:$E$301,E295,$F$2:$F$301,F295)&gt;1,"窗口重复：应更新原行",IF(AND(AD295="是",COUNTIFS($B$2:$B$301,B295,$C$2:$C$301,C295,$D$2:$D$301,D295,$AD$2:$AD$301,"是")&gt;1),"重复汇总：同视频SKU仅选一行",IF(AND(AC295="已复盘",AD295="是",ISNUMBER(Y295),AE295&lt;&gt;""),"可汇总","观察中/未完成结算核对"))))))))</f>
        <v/>
      </c>
      <c r="AG295" s="9">
        <f>IF(C295="","",IF(OR(H295="",I295=""),"待补充",IF(COUNTIFS($C$2:$C$301,C295,$H$2:$H$301,H295,$I$2:$I$301,I295)&lt;&gt;COUNTIF($C$2:$C$301,C295),"请统一日期/负责人",IF(COUNTIF($C$2:C295,C295)=1,1,0))))</f>
        <v/>
      </c>
    </row>
    <row r="296" spans="25:33" ht="34" customHeight="1">
      <c r="Y296" s="10">
        <f>IF(A296="","",IF(COUNT(P296,R296:S296,U296:X296)&lt;7,"待补充",IF(MIN(P296,R296:S296,U296:X296)&lt;0,"检查输入",ROUND(P296-SUM(R296:S296)-SUM(U296:X296),4))))</f>
        <v/>
      </c>
      <c r="AF296" s="9">
        <f>IF(A296="","",IF(COUNTIF($A$2:$A$301,A296)&gt;1,"归因记录ID重复",IF(OR(B296="",C296="",D296="",H296="",COUNT(E296:G296)&lt;3,I296="",Z296=""),"待补归因/证据/日期",IF(F296&lt;E296,"窗口起止错误",IF(COUNTIF('达人线索与合作'!$B$2:$B$301,B296)&lt;&gt;1,"合作ID未唯一匹配",IF(COUNTIFS($B$2:$B$301,B296,$C$2:$C$301,C296,$D$2:$D$301,D296,$E$2:$E$301,E296,$F$2:$F$301,F296)&gt;1,"窗口重复：应更新原行",IF(AND(AD296="是",COUNTIFS($B$2:$B$301,B296,$C$2:$C$301,C296,$D$2:$D$301,D296,$AD$2:$AD$301,"是")&gt;1),"重复汇总：同视频SKU仅选一行",IF(AND(AC296="已复盘",AD296="是",ISNUMBER(Y296),AE296&lt;&gt;""),"可汇总","观察中/未完成结算核对"))))))))</f>
        <v/>
      </c>
      <c r="AG296" s="9">
        <f>IF(C296="","",IF(OR(H296="",I296=""),"待补充",IF(COUNTIFS($C$2:$C$301,C296,$H$2:$H$301,H296,$I$2:$I$301,I296)&lt;&gt;COUNTIF($C$2:$C$301,C296),"请统一日期/负责人",IF(COUNTIF($C$2:C296,C296)=1,1,0))))</f>
        <v/>
      </c>
    </row>
    <row r="297" spans="25:33" ht="34" customHeight="1">
      <c r="Y297" s="10">
        <f>IF(A297="","",IF(COUNT(P297,R297:S297,U297:X297)&lt;7,"待补充",IF(MIN(P297,R297:S297,U297:X297)&lt;0,"检查输入",ROUND(P297-SUM(R297:S297)-SUM(U297:X297),4))))</f>
        <v/>
      </c>
      <c r="AF297" s="9">
        <f>IF(A297="","",IF(COUNTIF($A$2:$A$301,A297)&gt;1,"归因记录ID重复",IF(OR(B297="",C297="",D297="",H297="",COUNT(E297:G297)&lt;3,I297="",Z297=""),"待补归因/证据/日期",IF(F297&lt;E297,"窗口起止错误",IF(COUNTIF('达人线索与合作'!$B$2:$B$301,B297)&lt;&gt;1,"合作ID未唯一匹配",IF(COUNTIFS($B$2:$B$301,B297,$C$2:$C$301,C297,$D$2:$D$301,D297,$E$2:$E$301,E297,$F$2:$F$301,F297)&gt;1,"窗口重复：应更新原行",IF(AND(AD297="是",COUNTIFS($B$2:$B$301,B297,$C$2:$C$301,C297,$D$2:$D$301,D297,$AD$2:$AD$301,"是")&gt;1),"重复汇总：同视频SKU仅选一行",IF(AND(AC297="已复盘",AD297="是",ISNUMBER(Y297),AE297&lt;&gt;""),"可汇总","观察中/未完成结算核对"))))))))</f>
        <v/>
      </c>
      <c r="AG297" s="9">
        <f>IF(C297="","",IF(OR(H297="",I297=""),"待补充",IF(COUNTIFS($C$2:$C$301,C297,$H$2:$H$301,H297,$I$2:$I$301,I297)&lt;&gt;COUNTIF($C$2:$C$301,C297),"请统一日期/负责人",IF(COUNTIF($C$2:C297,C297)=1,1,0))))</f>
        <v/>
      </c>
    </row>
    <row r="298" spans="25:33" ht="34" customHeight="1">
      <c r="Y298" s="10">
        <f>IF(A298="","",IF(COUNT(P298,R298:S298,U298:X298)&lt;7,"待补充",IF(MIN(P298,R298:S298,U298:X298)&lt;0,"检查输入",ROUND(P298-SUM(R298:S298)-SUM(U298:X298),4))))</f>
        <v/>
      </c>
      <c r="AF298" s="9">
        <f>IF(A298="","",IF(COUNTIF($A$2:$A$301,A298)&gt;1,"归因记录ID重复",IF(OR(B298="",C298="",D298="",H298="",COUNT(E298:G298)&lt;3,I298="",Z298=""),"待补归因/证据/日期",IF(F298&lt;E298,"窗口起止错误",IF(COUNTIF('达人线索与合作'!$B$2:$B$301,B298)&lt;&gt;1,"合作ID未唯一匹配",IF(COUNTIFS($B$2:$B$301,B298,$C$2:$C$301,C298,$D$2:$D$301,D298,$E$2:$E$301,E298,$F$2:$F$301,F298)&gt;1,"窗口重复：应更新原行",IF(AND(AD298="是",COUNTIFS($B$2:$B$301,B298,$C$2:$C$301,C298,$D$2:$D$301,D298,$AD$2:$AD$301,"是")&gt;1),"重复汇总：同视频SKU仅选一行",IF(AND(AC298="已复盘",AD298="是",ISNUMBER(Y298),AE298&lt;&gt;""),"可汇总","观察中/未完成结算核对"))))))))</f>
        <v/>
      </c>
      <c r="AG298" s="9">
        <f>IF(C298="","",IF(OR(H298="",I298=""),"待补充",IF(COUNTIFS($C$2:$C$301,C298,$H$2:$H$301,H298,$I$2:$I$301,I298)&lt;&gt;COUNTIF($C$2:$C$301,C298),"请统一日期/负责人",IF(COUNTIF($C$2:C298,C298)=1,1,0))))</f>
        <v/>
      </c>
    </row>
    <row r="299" spans="25:33" ht="34" customHeight="1">
      <c r="Y299" s="10">
        <f>IF(A299="","",IF(COUNT(P299,R299:S299,U299:X299)&lt;7,"待补充",IF(MIN(P299,R299:S299,U299:X299)&lt;0,"检查输入",ROUND(P299-SUM(R299:S299)-SUM(U299:X299),4))))</f>
        <v/>
      </c>
      <c r="AF299" s="9">
        <f>IF(A299="","",IF(COUNTIF($A$2:$A$301,A299)&gt;1,"归因记录ID重复",IF(OR(B299="",C299="",D299="",H299="",COUNT(E299:G299)&lt;3,I299="",Z299=""),"待补归因/证据/日期",IF(F299&lt;E299,"窗口起止错误",IF(COUNTIF('达人线索与合作'!$B$2:$B$301,B299)&lt;&gt;1,"合作ID未唯一匹配",IF(COUNTIFS($B$2:$B$301,B299,$C$2:$C$301,C299,$D$2:$D$301,D299,$E$2:$E$301,E299,$F$2:$F$301,F299)&gt;1,"窗口重复：应更新原行",IF(AND(AD299="是",COUNTIFS($B$2:$B$301,B299,$C$2:$C$301,C299,$D$2:$D$301,D299,$AD$2:$AD$301,"是")&gt;1),"重复汇总：同视频SKU仅选一行",IF(AND(AC299="已复盘",AD299="是",ISNUMBER(Y299),AE299&lt;&gt;""),"可汇总","观察中/未完成结算核对"))))))))</f>
        <v/>
      </c>
      <c r="AG299" s="9">
        <f>IF(C299="","",IF(OR(H299="",I299=""),"待补充",IF(COUNTIFS($C$2:$C$301,C299,$H$2:$H$301,H299,$I$2:$I$301,I299)&lt;&gt;COUNTIF($C$2:$C$301,C299),"请统一日期/负责人",IF(COUNTIF($C$2:C299,C299)=1,1,0))))</f>
        <v/>
      </c>
    </row>
    <row r="300" spans="25:33" ht="34" customHeight="1">
      <c r="Y300" s="10">
        <f>IF(A300="","",IF(COUNT(P300,R300:S300,U300:X300)&lt;7,"待补充",IF(MIN(P300,R300:S300,U300:X300)&lt;0,"检查输入",ROUND(P300-SUM(R300:S300)-SUM(U300:X300),4))))</f>
        <v/>
      </c>
      <c r="AF300" s="9">
        <f>IF(A300="","",IF(COUNTIF($A$2:$A$301,A300)&gt;1,"归因记录ID重复",IF(OR(B300="",C300="",D300="",H300="",COUNT(E300:G300)&lt;3,I300="",Z300=""),"待补归因/证据/日期",IF(F300&lt;E300,"窗口起止错误",IF(COUNTIF('达人线索与合作'!$B$2:$B$301,B300)&lt;&gt;1,"合作ID未唯一匹配",IF(COUNTIFS($B$2:$B$301,B300,$C$2:$C$301,C300,$D$2:$D$301,D300,$E$2:$E$301,E300,$F$2:$F$301,F300)&gt;1,"窗口重复：应更新原行",IF(AND(AD300="是",COUNTIFS($B$2:$B$301,B300,$C$2:$C$301,C300,$D$2:$D$301,D300,$AD$2:$AD$301,"是")&gt;1),"重复汇总：同视频SKU仅选一行",IF(AND(AC300="已复盘",AD300="是",ISNUMBER(Y300),AE300&lt;&gt;""),"可汇总","观察中/未完成结算核对"))))))))</f>
        <v/>
      </c>
      <c r="AG300" s="9">
        <f>IF(C300="","",IF(OR(H300="",I300=""),"待补充",IF(COUNTIFS($C$2:$C$301,C300,$H$2:$H$301,H300,$I$2:$I$301,I300)&lt;&gt;COUNTIF($C$2:$C$301,C300),"请统一日期/负责人",IF(COUNTIF($C$2:C300,C300)=1,1,0))))</f>
        <v/>
      </c>
    </row>
    <row r="301" spans="25:33" ht="34" customHeight="1">
      <c r="Y301" s="10">
        <f>IF(A301="","",IF(COUNT(P301,R301:S301,U301:X301)&lt;7,"待补充",IF(MIN(P301,R301:S301,U301:X301)&lt;0,"检查输入",ROUND(P301-SUM(R301:S301)-SUM(U301:X301),4))))</f>
        <v/>
      </c>
      <c r="AF301" s="9">
        <f>IF(A301="","",IF(COUNTIF($A$2:$A$301,A301)&gt;1,"归因记录ID重复",IF(OR(B301="",C301="",D301="",H301="",COUNT(E301:G301)&lt;3,I301="",Z301=""),"待补归因/证据/日期",IF(F301&lt;E301,"窗口起止错误",IF(COUNTIF('达人线索与合作'!$B$2:$B$301,B301)&lt;&gt;1,"合作ID未唯一匹配",IF(COUNTIFS($B$2:$B$301,B301,$C$2:$C$301,C301,$D$2:$D$301,D301,$E$2:$E$301,E301,$F$2:$F$301,F301)&gt;1,"窗口重复：应更新原行",IF(AND(AD301="是",COUNTIFS($B$2:$B$301,B301,$C$2:$C$301,C301,$D$2:$D$301,D301,$AD$2:$AD$301,"是")&gt;1),"重复汇总：同视频SKU仅选一行",IF(AND(AC301="已复盘",AD301="是",ISNUMBER(Y301),AE301&lt;&gt;""),"可汇总","观察中/未完成结算核对"))))))))</f>
        <v/>
      </c>
      <c r="AG301" s="9">
        <f>IF(C301="","",IF(OR(H301="",I301=""),"待补充",IF(COUNTIFS($C$2:$C$301,C301,$H$2:$H$301,H301,$I$2:$I$301,I301)&lt;&gt;COUNTIF($C$2:$C$301,C301),"请统一日期/负责人",IF(COUNTIF($C$2:C301,C301)=1,1,0))))</f>
        <v/>
      </c>
    </row>
  </sheetData>
  <autoFilter ref="A1:AG301"/>
  <conditionalFormatting sqref="A2:AG301">
    <cfRule type="expression" dxfId="0" priority="1">
      <formula>AND($A2&lt;&gt;"",$AB2&lt;&gt;"",$AB2&lt;TODAY(),$AC2&lt;&gt;"已复盘",$AC2&lt;&gt;"终止")</formula>
    </cfRule>
  </conditionalFormatting>
  <conditionalFormatting sqref="AF2:AF301">
    <cfRule type="containsText" dxfId="0" priority="2" operator="containsText" text="重复">
      <formula>NOT(ISERROR(SEARCH("重复",AF2)))</formula>
    </cfRule>
  </conditionalFormatting>
  <dataValidations count="21">
    <dataValidation type="date" allowBlank="1" showInputMessage="1" showErrorMessage="1" errorTitle="日期不正确" error="请填写 2000–2100 年间有效日期。" promptTitle="真实业务日期" prompt="按 yyyy-mm-dd 填写；不知道先留空。" sqref="E2:E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F2:F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G2:G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I2:I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AB2:AB301">
      <formula1>36526</formula1>
      <formula2>73415</formula2>
    </dataValidation>
    <dataValidation type="whole" allowBlank="1" showInputMessage="1" showErrorMessage="1" errorTitle="输入范围不正确" error="请填写非负数；确认没有费用时填 0，未知时留空。" sqref="K2:K301">
      <formula1>0</formula1>
      <formula2>1000000000</formula2>
    </dataValidation>
    <dataValidation type="whole" allowBlank="1" showInputMessage="1" showErrorMessage="1" errorTitle="输入范围不正确" error="请填写非负数；确认没有费用时填 0，未知时留空。" sqref="L2:L301">
      <formula1>0</formula1>
      <formula2>1000000000</formula2>
    </dataValidation>
    <dataValidation type="whole" allowBlank="1" showInputMessage="1" showErrorMessage="1" errorTitle="输入范围不正确" error="请填写非负数；确认没有费用时填 0，未知时留空。" sqref="M2:M301">
      <formula1>0</formula1>
      <formula2>1000000000</formula2>
    </dataValidation>
    <dataValidation type="whole" allowBlank="1" showInputMessage="1" showErrorMessage="1" errorTitle="输入范围不正确" error="请填写非负数；确认没有费用时填 0，未知时留空。" sqref="T2:T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N2:N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O2:O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P2:P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Q2:Q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R2:R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S2:S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U2:U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V2:V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W2:W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X2:X301">
      <formula1>0</formula1>
      <formula2>1000000000</formula2>
    </dataValidation>
    <dataValidation type="list" allowBlank="1" showInputMessage="1" showErrorMessage="1" errorTitle="请选择有效状态" error="从下拉选项选择；参数字典中维护选项。" sqref="AC2:AC301">
      <formula1>ReviewStatus</formula1>
    </dataValidation>
    <dataValidation type="list" allowBlank="1" showInputMessage="1" showErrorMessage="1" errorTitle="请选择有效状态" error="从下拉选项选择；参数字典中维护选项。" sqref="AD2:AD301">
      <formula1>YesNo</formula1>
    </dataValidation>
  </dataValidations>
  <pageMargins left="0.7" right="0.7" top="0.75" bottom="0.75" header="0.3" footer="0.3"/>
  <pageSetup fitToHeight="0" orientation="landscape"/>
  <headerFooter>
    <oddFooter>&amp;L达人带货商务 · 空白模板&amp;R第 &amp;P / &amp;N 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89F8D"/>
    <pageSetUpPr fitToPage="1"/>
  </sheetPr>
  <dimension ref="A1:AB30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4" customHeight="1"/>
  <cols>
    <col min="1" max="3" width="18.7109375" style="1" customWidth="1"/>
    <col min="4" max="4" width="38.7109375" style="1" customWidth="1"/>
    <col min="5" max="5" width="35.7109375" style="1" customWidth="1"/>
    <col min="6" max="11" width="17.7109375" style="7" customWidth="1"/>
    <col min="12" max="13" width="17.7109375" style="8" customWidth="1"/>
    <col min="14" max="16" width="17.7109375" style="7" customWidth="1"/>
    <col min="17" max="17" width="17.7109375" style="6" customWidth="1"/>
    <col min="18" max="21" width="18.7109375" style="1" customWidth="1"/>
    <col min="22" max="22" width="29.7109375" style="1" customWidth="1"/>
    <col min="23" max="25" width="18.7109375" style="1" customWidth="1"/>
    <col min="26" max="27" width="14.7109375" style="2" customWidth="1"/>
    <col min="28" max="28" width="40.7109375" style="1" customWidth="1"/>
  </cols>
  <sheetData>
    <row r="1" spans="1:28" ht="48" customHeight="1">
      <c r="A1" s="3" t="s">
        <v>194</v>
      </c>
      <c r="B1" s="3" t="s">
        <v>116</v>
      </c>
      <c r="C1" s="3" t="s">
        <v>167</v>
      </c>
      <c r="D1" s="3" t="s">
        <v>195</v>
      </c>
      <c r="E1" s="3" t="s">
        <v>196</v>
      </c>
      <c r="F1" s="3" t="s">
        <v>197</v>
      </c>
      <c r="G1" s="3" t="s">
        <v>198</v>
      </c>
      <c r="H1" s="3" t="s">
        <v>199</v>
      </c>
      <c r="I1" s="3" t="s">
        <v>200</v>
      </c>
      <c r="J1" s="3" t="s">
        <v>201</v>
      </c>
      <c r="K1" s="3" t="s">
        <v>202</v>
      </c>
      <c r="L1" s="3" t="s">
        <v>133</v>
      </c>
      <c r="M1" s="3" t="s">
        <v>203</v>
      </c>
      <c r="N1" s="3" t="s">
        <v>204</v>
      </c>
      <c r="O1" s="3" t="s">
        <v>205</v>
      </c>
      <c r="P1" s="3" t="s">
        <v>206</v>
      </c>
      <c r="Q1" s="3" t="s">
        <v>207</v>
      </c>
      <c r="R1" s="3" t="s">
        <v>208</v>
      </c>
      <c r="S1" s="3" t="s">
        <v>209</v>
      </c>
      <c r="T1" s="3" t="s">
        <v>210</v>
      </c>
      <c r="U1" s="3" t="s">
        <v>211</v>
      </c>
      <c r="V1" s="3" t="s">
        <v>212</v>
      </c>
      <c r="W1" s="3" t="s">
        <v>213</v>
      </c>
      <c r="X1" s="3" t="s">
        <v>140</v>
      </c>
      <c r="Y1" s="3" t="s">
        <v>120</v>
      </c>
      <c r="Z1" s="3" t="s">
        <v>214</v>
      </c>
      <c r="AA1" s="3" t="s">
        <v>215</v>
      </c>
      <c r="AB1" s="3" t="s">
        <v>216</v>
      </c>
    </row>
    <row r="2" spans="1:28" ht="34" customHeight="1">
      <c r="R2" s="10">
        <f>IF(A2="","",IF(COUNT(G2,L2)&lt;2,"待补充",IF(OR(G2&lt;0,L2&lt;0,L2&gt;1),"检查输入",G2*L2)))</f>
        <v/>
      </c>
      <c r="S2" s="10">
        <f>IF(A2="","",IF(COUNT(M2:N2)&lt;2,"待补充",IF(OR(M2&lt;0,M2&gt;1,N2&lt;0),"检查输入",M2*N2)))</f>
        <v/>
      </c>
      <c r="T2" s="10">
        <f>IF(A2="","",IF(COUNT(F2:N2)&lt;9,"待补充",IF(OR(MIN(F2:N2)&lt;0,L2&gt;1,M2&gt;1),"检查输入",ROUND(F2-SUM(H2:K2)-R2-S2,4))))</f>
        <v/>
      </c>
      <c r="U2" s="10">
        <f>IF(A2="","",IF(COUNT(O2:P2)&lt;2,"待补充",IF(MIN(O2:P2)&lt;0,"检查输入",SUM(O2:P2))))</f>
        <v/>
      </c>
      <c r="V2" s="9">
        <f>IF(A2="","",IF(OR(T2="检查输入",U2="检查输入"),"检查输入",IF(OR(NOT(ISNUMBER(T2)),NOT(ISNUMBER(U2))),"待补充",IF(T2&lt;=0,"不可保本",IFERROR(ROUNDUP(U2/T2,0),"检查输入")))))</f>
        <v/>
      </c>
      <c r="W2" s="10">
        <f>IF(A2="","",IF(OR(NOT(ISNUMBER(T2)),NOT(ISNUMBER(U2)),NOT(ISNUMBER(Q2))),"待补充",IF(OR(Q2&lt;0,Q2&lt;&gt;INT(Q2)),"检查输入",ROUND(Q2*T2-U2,4))))</f>
        <v/>
      </c>
    </row>
    <row r="3" spans="1:28" ht="34" customHeight="1">
      <c r="R3" s="10">
        <f>IF(A3="","",IF(COUNT(G3,L3)&lt;2,"待补充",IF(OR(G3&lt;0,L3&lt;0,L3&gt;1),"检查输入",G3*L3)))</f>
        <v/>
      </c>
      <c r="S3" s="10">
        <f>IF(A3="","",IF(COUNT(M3:N3)&lt;2,"待补充",IF(OR(M3&lt;0,M3&gt;1,N3&lt;0),"检查输入",M3*N3)))</f>
        <v/>
      </c>
      <c r="T3" s="10">
        <f>IF(A3="","",IF(COUNT(F3:N3)&lt;9,"待补充",IF(OR(MIN(F3:N3)&lt;0,L3&gt;1,M3&gt;1),"检查输入",ROUND(F3-SUM(H3:K3)-R3-S3,4))))</f>
        <v/>
      </c>
      <c r="U3" s="10">
        <f>IF(A3="","",IF(COUNT(O3:P3)&lt;2,"待补充",IF(MIN(O3:P3)&lt;0,"检查输入",SUM(O3:P3))))</f>
        <v/>
      </c>
      <c r="V3" s="9">
        <f>IF(A3="","",IF(OR(T3="检查输入",U3="检查输入"),"检查输入",IF(OR(NOT(ISNUMBER(T3)),NOT(ISNUMBER(U3))),"待补充",IF(T3&lt;=0,"不可保本",IFERROR(ROUNDUP(U3/T3,0),"检查输入")))))</f>
        <v/>
      </c>
      <c r="W3" s="10">
        <f>IF(A3="","",IF(OR(NOT(ISNUMBER(T3)),NOT(ISNUMBER(U3)),NOT(ISNUMBER(Q3))),"待补充",IF(OR(Q3&lt;0,Q3&lt;&gt;INT(Q3)),"检查输入",ROUND(Q3*T3-U3,4))))</f>
        <v/>
      </c>
    </row>
    <row r="4" spans="1:28" ht="34" customHeight="1">
      <c r="R4" s="10">
        <f>IF(A4="","",IF(COUNT(G4,L4)&lt;2,"待补充",IF(OR(G4&lt;0,L4&lt;0,L4&gt;1),"检查输入",G4*L4)))</f>
        <v/>
      </c>
      <c r="S4" s="10">
        <f>IF(A4="","",IF(COUNT(M4:N4)&lt;2,"待补充",IF(OR(M4&lt;0,M4&gt;1,N4&lt;0),"检查输入",M4*N4)))</f>
        <v/>
      </c>
      <c r="T4" s="10">
        <f>IF(A4="","",IF(COUNT(F4:N4)&lt;9,"待补充",IF(OR(MIN(F4:N4)&lt;0,L4&gt;1,M4&gt;1),"检查输入",ROUND(F4-SUM(H4:K4)-R4-S4,4))))</f>
        <v/>
      </c>
      <c r="U4" s="10">
        <f>IF(A4="","",IF(COUNT(O4:P4)&lt;2,"待补充",IF(MIN(O4:P4)&lt;0,"检查输入",SUM(O4:P4))))</f>
        <v/>
      </c>
      <c r="V4" s="9">
        <f>IF(A4="","",IF(OR(T4="检查输入",U4="检查输入"),"检查输入",IF(OR(NOT(ISNUMBER(T4)),NOT(ISNUMBER(U4))),"待补充",IF(T4&lt;=0,"不可保本",IFERROR(ROUNDUP(U4/T4,0),"检查输入")))))</f>
        <v/>
      </c>
      <c r="W4" s="10">
        <f>IF(A4="","",IF(OR(NOT(ISNUMBER(T4)),NOT(ISNUMBER(U4)),NOT(ISNUMBER(Q4))),"待补充",IF(OR(Q4&lt;0,Q4&lt;&gt;INT(Q4)),"检查输入",ROUND(Q4*T4-U4,4))))</f>
        <v/>
      </c>
    </row>
    <row r="5" spans="1:28" ht="34" customHeight="1">
      <c r="R5" s="10">
        <f>IF(A5="","",IF(COUNT(G5,L5)&lt;2,"待补充",IF(OR(G5&lt;0,L5&lt;0,L5&gt;1),"检查输入",G5*L5)))</f>
        <v/>
      </c>
      <c r="S5" s="10">
        <f>IF(A5="","",IF(COUNT(M5:N5)&lt;2,"待补充",IF(OR(M5&lt;0,M5&gt;1,N5&lt;0),"检查输入",M5*N5)))</f>
        <v/>
      </c>
      <c r="T5" s="10">
        <f>IF(A5="","",IF(COUNT(F5:N5)&lt;9,"待补充",IF(OR(MIN(F5:N5)&lt;0,L5&gt;1,M5&gt;1),"检查输入",ROUND(F5-SUM(H5:K5)-R5-S5,4))))</f>
        <v/>
      </c>
      <c r="U5" s="10">
        <f>IF(A5="","",IF(COUNT(O5:P5)&lt;2,"待补充",IF(MIN(O5:P5)&lt;0,"检查输入",SUM(O5:P5))))</f>
        <v/>
      </c>
      <c r="V5" s="9">
        <f>IF(A5="","",IF(OR(T5="检查输入",U5="检查输入"),"检查输入",IF(OR(NOT(ISNUMBER(T5)),NOT(ISNUMBER(U5))),"待补充",IF(T5&lt;=0,"不可保本",IFERROR(ROUNDUP(U5/T5,0),"检查输入")))))</f>
        <v/>
      </c>
      <c r="W5" s="10">
        <f>IF(A5="","",IF(OR(NOT(ISNUMBER(T5)),NOT(ISNUMBER(U5)),NOT(ISNUMBER(Q5))),"待补充",IF(OR(Q5&lt;0,Q5&lt;&gt;INT(Q5)),"检查输入",ROUND(Q5*T5-U5,4))))</f>
        <v/>
      </c>
    </row>
    <row r="6" spans="1:28" ht="34" customHeight="1">
      <c r="R6" s="10">
        <f>IF(A6="","",IF(COUNT(G6,L6)&lt;2,"待补充",IF(OR(G6&lt;0,L6&lt;0,L6&gt;1),"检查输入",G6*L6)))</f>
        <v/>
      </c>
      <c r="S6" s="10">
        <f>IF(A6="","",IF(COUNT(M6:N6)&lt;2,"待补充",IF(OR(M6&lt;0,M6&gt;1,N6&lt;0),"检查输入",M6*N6)))</f>
        <v/>
      </c>
      <c r="T6" s="10">
        <f>IF(A6="","",IF(COUNT(F6:N6)&lt;9,"待补充",IF(OR(MIN(F6:N6)&lt;0,L6&gt;1,M6&gt;1),"检查输入",ROUND(F6-SUM(H6:K6)-R6-S6,4))))</f>
        <v/>
      </c>
      <c r="U6" s="10">
        <f>IF(A6="","",IF(COUNT(O6:P6)&lt;2,"待补充",IF(MIN(O6:P6)&lt;0,"检查输入",SUM(O6:P6))))</f>
        <v/>
      </c>
      <c r="V6" s="9">
        <f>IF(A6="","",IF(OR(T6="检查输入",U6="检查输入"),"检查输入",IF(OR(NOT(ISNUMBER(T6)),NOT(ISNUMBER(U6))),"待补充",IF(T6&lt;=0,"不可保本",IFERROR(ROUNDUP(U6/T6,0),"检查输入")))))</f>
        <v/>
      </c>
      <c r="W6" s="10">
        <f>IF(A6="","",IF(OR(NOT(ISNUMBER(T6)),NOT(ISNUMBER(U6)),NOT(ISNUMBER(Q6))),"待补充",IF(OR(Q6&lt;0,Q6&lt;&gt;INT(Q6)),"检查输入",ROUND(Q6*T6-U6,4))))</f>
        <v/>
      </c>
    </row>
    <row r="7" spans="1:28" ht="34" customHeight="1">
      <c r="R7" s="10">
        <f>IF(A7="","",IF(COUNT(G7,L7)&lt;2,"待补充",IF(OR(G7&lt;0,L7&lt;0,L7&gt;1),"检查输入",G7*L7)))</f>
        <v/>
      </c>
      <c r="S7" s="10">
        <f>IF(A7="","",IF(COUNT(M7:N7)&lt;2,"待补充",IF(OR(M7&lt;0,M7&gt;1,N7&lt;0),"检查输入",M7*N7)))</f>
        <v/>
      </c>
      <c r="T7" s="10">
        <f>IF(A7="","",IF(COUNT(F7:N7)&lt;9,"待补充",IF(OR(MIN(F7:N7)&lt;0,L7&gt;1,M7&gt;1),"检查输入",ROUND(F7-SUM(H7:K7)-R7-S7,4))))</f>
        <v/>
      </c>
      <c r="U7" s="10">
        <f>IF(A7="","",IF(COUNT(O7:P7)&lt;2,"待补充",IF(MIN(O7:P7)&lt;0,"检查输入",SUM(O7:P7))))</f>
        <v/>
      </c>
      <c r="V7" s="9">
        <f>IF(A7="","",IF(OR(T7="检查输入",U7="检查输入"),"检查输入",IF(OR(NOT(ISNUMBER(T7)),NOT(ISNUMBER(U7))),"待补充",IF(T7&lt;=0,"不可保本",IFERROR(ROUNDUP(U7/T7,0),"检查输入")))))</f>
        <v/>
      </c>
      <c r="W7" s="10">
        <f>IF(A7="","",IF(OR(NOT(ISNUMBER(T7)),NOT(ISNUMBER(U7)),NOT(ISNUMBER(Q7))),"待补充",IF(OR(Q7&lt;0,Q7&lt;&gt;INT(Q7)),"检查输入",ROUND(Q7*T7-U7,4))))</f>
        <v/>
      </c>
    </row>
    <row r="8" spans="1:28" ht="34" customHeight="1">
      <c r="R8" s="10">
        <f>IF(A8="","",IF(COUNT(G8,L8)&lt;2,"待补充",IF(OR(G8&lt;0,L8&lt;0,L8&gt;1),"检查输入",G8*L8)))</f>
        <v/>
      </c>
      <c r="S8" s="10">
        <f>IF(A8="","",IF(COUNT(M8:N8)&lt;2,"待补充",IF(OR(M8&lt;0,M8&gt;1,N8&lt;0),"检查输入",M8*N8)))</f>
        <v/>
      </c>
      <c r="T8" s="10">
        <f>IF(A8="","",IF(COUNT(F8:N8)&lt;9,"待补充",IF(OR(MIN(F8:N8)&lt;0,L8&gt;1,M8&gt;1),"检查输入",ROUND(F8-SUM(H8:K8)-R8-S8,4))))</f>
        <v/>
      </c>
      <c r="U8" s="10">
        <f>IF(A8="","",IF(COUNT(O8:P8)&lt;2,"待补充",IF(MIN(O8:P8)&lt;0,"检查输入",SUM(O8:P8))))</f>
        <v/>
      </c>
      <c r="V8" s="9">
        <f>IF(A8="","",IF(OR(T8="检查输入",U8="检查输入"),"检查输入",IF(OR(NOT(ISNUMBER(T8)),NOT(ISNUMBER(U8))),"待补充",IF(T8&lt;=0,"不可保本",IFERROR(ROUNDUP(U8/T8,0),"检查输入")))))</f>
        <v/>
      </c>
      <c r="W8" s="10">
        <f>IF(A8="","",IF(OR(NOT(ISNUMBER(T8)),NOT(ISNUMBER(U8)),NOT(ISNUMBER(Q8))),"待补充",IF(OR(Q8&lt;0,Q8&lt;&gt;INT(Q8)),"检查输入",ROUND(Q8*T8-U8,4))))</f>
        <v/>
      </c>
    </row>
    <row r="9" spans="1:28" ht="34" customHeight="1">
      <c r="R9" s="10">
        <f>IF(A9="","",IF(COUNT(G9,L9)&lt;2,"待补充",IF(OR(G9&lt;0,L9&lt;0,L9&gt;1),"检查输入",G9*L9)))</f>
        <v/>
      </c>
      <c r="S9" s="10">
        <f>IF(A9="","",IF(COUNT(M9:N9)&lt;2,"待补充",IF(OR(M9&lt;0,M9&gt;1,N9&lt;0),"检查输入",M9*N9)))</f>
        <v/>
      </c>
      <c r="T9" s="10">
        <f>IF(A9="","",IF(COUNT(F9:N9)&lt;9,"待补充",IF(OR(MIN(F9:N9)&lt;0,L9&gt;1,M9&gt;1),"检查输入",ROUND(F9-SUM(H9:K9)-R9-S9,4))))</f>
        <v/>
      </c>
      <c r="U9" s="10">
        <f>IF(A9="","",IF(COUNT(O9:P9)&lt;2,"待补充",IF(MIN(O9:P9)&lt;0,"检查输入",SUM(O9:P9))))</f>
        <v/>
      </c>
      <c r="V9" s="9">
        <f>IF(A9="","",IF(OR(T9="检查输入",U9="检查输入"),"检查输入",IF(OR(NOT(ISNUMBER(T9)),NOT(ISNUMBER(U9))),"待补充",IF(T9&lt;=0,"不可保本",IFERROR(ROUNDUP(U9/T9,0),"检查输入")))))</f>
        <v/>
      </c>
      <c r="W9" s="10">
        <f>IF(A9="","",IF(OR(NOT(ISNUMBER(T9)),NOT(ISNUMBER(U9)),NOT(ISNUMBER(Q9))),"待补充",IF(OR(Q9&lt;0,Q9&lt;&gt;INT(Q9)),"检查输入",ROUND(Q9*T9-U9,4))))</f>
        <v/>
      </c>
    </row>
    <row r="10" spans="1:28" ht="34" customHeight="1">
      <c r="R10" s="10">
        <f>IF(A10="","",IF(COUNT(G10,L10)&lt;2,"待补充",IF(OR(G10&lt;0,L10&lt;0,L10&gt;1),"检查输入",G10*L10)))</f>
        <v/>
      </c>
      <c r="S10" s="10">
        <f>IF(A10="","",IF(COUNT(M10:N10)&lt;2,"待补充",IF(OR(M10&lt;0,M10&gt;1,N10&lt;0),"检查输入",M10*N10)))</f>
        <v/>
      </c>
      <c r="T10" s="10">
        <f>IF(A10="","",IF(COUNT(F10:N10)&lt;9,"待补充",IF(OR(MIN(F10:N10)&lt;0,L10&gt;1,M10&gt;1),"检查输入",ROUND(F10-SUM(H10:K10)-R10-S10,4))))</f>
        <v/>
      </c>
      <c r="U10" s="10">
        <f>IF(A10="","",IF(COUNT(O10:P10)&lt;2,"待补充",IF(MIN(O10:P10)&lt;0,"检查输入",SUM(O10:P10))))</f>
        <v/>
      </c>
      <c r="V10" s="9">
        <f>IF(A10="","",IF(OR(T10="检查输入",U10="检查输入"),"检查输入",IF(OR(NOT(ISNUMBER(T10)),NOT(ISNUMBER(U10))),"待补充",IF(T10&lt;=0,"不可保本",IFERROR(ROUNDUP(U10/T10,0),"检查输入")))))</f>
        <v/>
      </c>
      <c r="W10" s="10">
        <f>IF(A10="","",IF(OR(NOT(ISNUMBER(T10)),NOT(ISNUMBER(U10)),NOT(ISNUMBER(Q10))),"待补充",IF(OR(Q10&lt;0,Q10&lt;&gt;INT(Q10)),"检查输入",ROUND(Q10*T10-U10,4))))</f>
        <v/>
      </c>
    </row>
    <row r="11" spans="1:28" ht="34" customHeight="1">
      <c r="R11" s="10">
        <f>IF(A11="","",IF(COUNT(G11,L11)&lt;2,"待补充",IF(OR(G11&lt;0,L11&lt;0,L11&gt;1),"检查输入",G11*L11)))</f>
        <v/>
      </c>
      <c r="S11" s="10">
        <f>IF(A11="","",IF(COUNT(M11:N11)&lt;2,"待补充",IF(OR(M11&lt;0,M11&gt;1,N11&lt;0),"检查输入",M11*N11)))</f>
        <v/>
      </c>
      <c r="T11" s="10">
        <f>IF(A11="","",IF(COUNT(F11:N11)&lt;9,"待补充",IF(OR(MIN(F11:N11)&lt;0,L11&gt;1,M11&gt;1),"检查输入",ROUND(F11-SUM(H11:K11)-R11-S11,4))))</f>
        <v/>
      </c>
      <c r="U11" s="10">
        <f>IF(A11="","",IF(COUNT(O11:P11)&lt;2,"待补充",IF(MIN(O11:P11)&lt;0,"检查输入",SUM(O11:P11))))</f>
        <v/>
      </c>
      <c r="V11" s="9">
        <f>IF(A11="","",IF(OR(T11="检查输入",U11="检查输入"),"检查输入",IF(OR(NOT(ISNUMBER(T11)),NOT(ISNUMBER(U11))),"待补充",IF(T11&lt;=0,"不可保本",IFERROR(ROUNDUP(U11/T11,0),"检查输入")))))</f>
        <v/>
      </c>
      <c r="W11" s="10">
        <f>IF(A11="","",IF(OR(NOT(ISNUMBER(T11)),NOT(ISNUMBER(U11)),NOT(ISNUMBER(Q11))),"待补充",IF(OR(Q11&lt;0,Q11&lt;&gt;INT(Q11)),"检查输入",ROUND(Q11*T11-U11,4))))</f>
        <v/>
      </c>
    </row>
    <row r="12" spans="1:28" ht="34" customHeight="1">
      <c r="R12" s="10">
        <f>IF(A12="","",IF(COUNT(G12,L12)&lt;2,"待补充",IF(OR(G12&lt;0,L12&lt;0,L12&gt;1),"检查输入",G12*L12)))</f>
        <v/>
      </c>
      <c r="S12" s="10">
        <f>IF(A12="","",IF(COUNT(M12:N12)&lt;2,"待补充",IF(OR(M12&lt;0,M12&gt;1,N12&lt;0),"检查输入",M12*N12)))</f>
        <v/>
      </c>
      <c r="T12" s="10">
        <f>IF(A12="","",IF(COUNT(F12:N12)&lt;9,"待补充",IF(OR(MIN(F12:N12)&lt;0,L12&gt;1,M12&gt;1),"检查输入",ROUND(F12-SUM(H12:K12)-R12-S12,4))))</f>
        <v/>
      </c>
      <c r="U12" s="10">
        <f>IF(A12="","",IF(COUNT(O12:P12)&lt;2,"待补充",IF(MIN(O12:P12)&lt;0,"检查输入",SUM(O12:P12))))</f>
        <v/>
      </c>
      <c r="V12" s="9">
        <f>IF(A12="","",IF(OR(T12="检查输入",U12="检查输入"),"检查输入",IF(OR(NOT(ISNUMBER(T12)),NOT(ISNUMBER(U12))),"待补充",IF(T12&lt;=0,"不可保本",IFERROR(ROUNDUP(U12/T12,0),"检查输入")))))</f>
        <v/>
      </c>
      <c r="W12" s="10">
        <f>IF(A12="","",IF(OR(NOT(ISNUMBER(T12)),NOT(ISNUMBER(U12)),NOT(ISNUMBER(Q12))),"待补充",IF(OR(Q12&lt;0,Q12&lt;&gt;INT(Q12)),"检查输入",ROUND(Q12*T12-U12,4))))</f>
        <v/>
      </c>
    </row>
    <row r="13" spans="1:28" ht="34" customHeight="1">
      <c r="R13" s="10">
        <f>IF(A13="","",IF(COUNT(G13,L13)&lt;2,"待补充",IF(OR(G13&lt;0,L13&lt;0,L13&gt;1),"检查输入",G13*L13)))</f>
        <v/>
      </c>
      <c r="S13" s="10">
        <f>IF(A13="","",IF(COUNT(M13:N13)&lt;2,"待补充",IF(OR(M13&lt;0,M13&gt;1,N13&lt;0),"检查输入",M13*N13)))</f>
        <v/>
      </c>
      <c r="T13" s="10">
        <f>IF(A13="","",IF(COUNT(F13:N13)&lt;9,"待补充",IF(OR(MIN(F13:N13)&lt;0,L13&gt;1,M13&gt;1),"检查输入",ROUND(F13-SUM(H13:K13)-R13-S13,4))))</f>
        <v/>
      </c>
      <c r="U13" s="10">
        <f>IF(A13="","",IF(COUNT(O13:P13)&lt;2,"待补充",IF(MIN(O13:P13)&lt;0,"检查输入",SUM(O13:P13))))</f>
        <v/>
      </c>
      <c r="V13" s="9">
        <f>IF(A13="","",IF(OR(T13="检查输入",U13="检查输入"),"检查输入",IF(OR(NOT(ISNUMBER(T13)),NOT(ISNUMBER(U13))),"待补充",IF(T13&lt;=0,"不可保本",IFERROR(ROUNDUP(U13/T13,0),"检查输入")))))</f>
        <v/>
      </c>
      <c r="W13" s="10">
        <f>IF(A13="","",IF(OR(NOT(ISNUMBER(T13)),NOT(ISNUMBER(U13)),NOT(ISNUMBER(Q13))),"待补充",IF(OR(Q13&lt;0,Q13&lt;&gt;INT(Q13)),"检查输入",ROUND(Q13*T13-U13,4))))</f>
        <v/>
      </c>
    </row>
    <row r="14" spans="1:28" ht="34" customHeight="1">
      <c r="R14" s="10">
        <f>IF(A14="","",IF(COUNT(G14,L14)&lt;2,"待补充",IF(OR(G14&lt;0,L14&lt;0,L14&gt;1),"检查输入",G14*L14)))</f>
        <v/>
      </c>
      <c r="S14" s="10">
        <f>IF(A14="","",IF(COUNT(M14:N14)&lt;2,"待补充",IF(OR(M14&lt;0,M14&gt;1,N14&lt;0),"检查输入",M14*N14)))</f>
        <v/>
      </c>
      <c r="T14" s="10">
        <f>IF(A14="","",IF(COUNT(F14:N14)&lt;9,"待补充",IF(OR(MIN(F14:N14)&lt;0,L14&gt;1,M14&gt;1),"检查输入",ROUND(F14-SUM(H14:K14)-R14-S14,4))))</f>
        <v/>
      </c>
      <c r="U14" s="10">
        <f>IF(A14="","",IF(COUNT(O14:P14)&lt;2,"待补充",IF(MIN(O14:P14)&lt;0,"检查输入",SUM(O14:P14))))</f>
        <v/>
      </c>
      <c r="V14" s="9">
        <f>IF(A14="","",IF(OR(T14="检查输入",U14="检查输入"),"检查输入",IF(OR(NOT(ISNUMBER(T14)),NOT(ISNUMBER(U14))),"待补充",IF(T14&lt;=0,"不可保本",IFERROR(ROUNDUP(U14/T14,0),"检查输入")))))</f>
        <v/>
      </c>
      <c r="W14" s="10">
        <f>IF(A14="","",IF(OR(NOT(ISNUMBER(T14)),NOT(ISNUMBER(U14)),NOT(ISNUMBER(Q14))),"待补充",IF(OR(Q14&lt;0,Q14&lt;&gt;INT(Q14)),"检查输入",ROUND(Q14*T14-U14,4))))</f>
        <v/>
      </c>
    </row>
    <row r="15" spans="1:28" ht="34" customHeight="1">
      <c r="R15" s="10">
        <f>IF(A15="","",IF(COUNT(G15,L15)&lt;2,"待补充",IF(OR(G15&lt;0,L15&lt;0,L15&gt;1),"检查输入",G15*L15)))</f>
        <v/>
      </c>
      <c r="S15" s="10">
        <f>IF(A15="","",IF(COUNT(M15:N15)&lt;2,"待补充",IF(OR(M15&lt;0,M15&gt;1,N15&lt;0),"检查输入",M15*N15)))</f>
        <v/>
      </c>
      <c r="T15" s="10">
        <f>IF(A15="","",IF(COUNT(F15:N15)&lt;9,"待补充",IF(OR(MIN(F15:N15)&lt;0,L15&gt;1,M15&gt;1),"检查输入",ROUND(F15-SUM(H15:K15)-R15-S15,4))))</f>
        <v/>
      </c>
      <c r="U15" s="10">
        <f>IF(A15="","",IF(COUNT(O15:P15)&lt;2,"待补充",IF(MIN(O15:P15)&lt;0,"检查输入",SUM(O15:P15))))</f>
        <v/>
      </c>
      <c r="V15" s="9">
        <f>IF(A15="","",IF(OR(T15="检查输入",U15="检查输入"),"检查输入",IF(OR(NOT(ISNUMBER(T15)),NOT(ISNUMBER(U15))),"待补充",IF(T15&lt;=0,"不可保本",IFERROR(ROUNDUP(U15/T15,0),"检查输入")))))</f>
        <v/>
      </c>
      <c r="W15" s="10">
        <f>IF(A15="","",IF(OR(NOT(ISNUMBER(T15)),NOT(ISNUMBER(U15)),NOT(ISNUMBER(Q15))),"待补充",IF(OR(Q15&lt;0,Q15&lt;&gt;INT(Q15)),"检查输入",ROUND(Q15*T15-U15,4))))</f>
        <v/>
      </c>
    </row>
    <row r="16" spans="1:28" ht="34" customHeight="1">
      <c r="R16" s="10">
        <f>IF(A16="","",IF(COUNT(G16,L16)&lt;2,"待补充",IF(OR(G16&lt;0,L16&lt;0,L16&gt;1),"检查输入",G16*L16)))</f>
        <v/>
      </c>
      <c r="S16" s="10">
        <f>IF(A16="","",IF(COUNT(M16:N16)&lt;2,"待补充",IF(OR(M16&lt;0,M16&gt;1,N16&lt;0),"检查输入",M16*N16)))</f>
        <v/>
      </c>
      <c r="T16" s="10">
        <f>IF(A16="","",IF(COUNT(F16:N16)&lt;9,"待补充",IF(OR(MIN(F16:N16)&lt;0,L16&gt;1,M16&gt;1),"检查输入",ROUND(F16-SUM(H16:K16)-R16-S16,4))))</f>
        <v/>
      </c>
      <c r="U16" s="10">
        <f>IF(A16="","",IF(COUNT(O16:P16)&lt;2,"待补充",IF(MIN(O16:P16)&lt;0,"检查输入",SUM(O16:P16))))</f>
        <v/>
      </c>
      <c r="V16" s="9">
        <f>IF(A16="","",IF(OR(T16="检查输入",U16="检查输入"),"检查输入",IF(OR(NOT(ISNUMBER(T16)),NOT(ISNUMBER(U16))),"待补充",IF(T16&lt;=0,"不可保本",IFERROR(ROUNDUP(U16/T16,0),"检查输入")))))</f>
        <v/>
      </c>
      <c r="W16" s="10">
        <f>IF(A16="","",IF(OR(NOT(ISNUMBER(T16)),NOT(ISNUMBER(U16)),NOT(ISNUMBER(Q16))),"待补充",IF(OR(Q16&lt;0,Q16&lt;&gt;INT(Q16)),"检查输入",ROUND(Q16*T16-U16,4))))</f>
        <v/>
      </c>
    </row>
    <row r="17" spans="18:23" ht="34" customHeight="1">
      <c r="R17" s="10">
        <f>IF(A17="","",IF(COUNT(G17,L17)&lt;2,"待补充",IF(OR(G17&lt;0,L17&lt;0,L17&gt;1),"检查输入",G17*L17)))</f>
        <v/>
      </c>
      <c r="S17" s="10">
        <f>IF(A17="","",IF(COUNT(M17:N17)&lt;2,"待补充",IF(OR(M17&lt;0,M17&gt;1,N17&lt;0),"检查输入",M17*N17)))</f>
        <v/>
      </c>
      <c r="T17" s="10">
        <f>IF(A17="","",IF(COUNT(F17:N17)&lt;9,"待补充",IF(OR(MIN(F17:N17)&lt;0,L17&gt;1,M17&gt;1),"检查输入",ROUND(F17-SUM(H17:K17)-R17-S17,4))))</f>
        <v/>
      </c>
      <c r="U17" s="10">
        <f>IF(A17="","",IF(COUNT(O17:P17)&lt;2,"待补充",IF(MIN(O17:P17)&lt;0,"检查输入",SUM(O17:P17))))</f>
        <v/>
      </c>
      <c r="V17" s="9">
        <f>IF(A17="","",IF(OR(T17="检查输入",U17="检查输入"),"检查输入",IF(OR(NOT(ISNUMBER(T17)),NOT(ISNUMBER(U17))),"待补充",IF(T17&lt;=0,"不可保本",IFERROR(ROUNDUP(U17/T17,0),"检查输入")))))</f>
        <v/>
      </c>
      <c r="W17" s="10">
        <f>IF(A17="","",IF(OR(NOT(ISNUMBER(T17)),NOT(ISNUMBER(U17)),NOT(ISNUMBER(Q17))),"待补充",IF(OR(Q17&lt;0,Q17&lt;&gt;INT(Q17)),"检查输入",ROUND(Q17*T17-U17,4))))</f>
        <v/>
      </c>
    </row>
    <row r="18" spans="18:23" ht="34" customHeight="1">
      <c r="R18" s="10">
        <f>IF(A18="","",IF(COUNT(G18,L18)&lt;2,"待补充",IF(OR(G18&lt;0,L18&lt;0,L18&gt;1),"检查输入",G18*L18)))</f>
        <v/>
      </c>
      <c r="S18" s="10">
        <f>IF(A18="","",IF(COUNT(M18:N18)&lt;2,"待补充",IF(OR(M18&lt;0,M18&gt;1,N18&lt;0),"检查输入",M18*N18)))</f>
        <v/>
      </c>
      <c r="T18" s="10">
        <f>IF(A18="","",IF(COUNT(F18:N18)&lt;9,"待补充",IF(OR(MIN(F18:N18)&lt;0,L18&gt;1,M18&gt;1),"检查输入",ROUND(F18-SUM(H18:K18)-R18-S18,4))))</f>
        <v/>
      </c>
      <c r="U18" s="10">
        <f>IF(A18="","",IF(COUNT(O18:P18)&lt;2,"待补充",IF(MIN(O18:P18)&lt;0,"检查输入",SUM(O18:P18))))</f>
        <v/>
      </c>
      <c r="V18" s="9">
        <f>IF(A18="","",IF(OR(T18="检查输入",U18="检查输入"),"检查输入",IF(OR(NOT(ISNUMBER(T18)),NOT(ISNUMBER(U18))),"待补充",IF(T18&lt;=0,"不可保本",IFERROR(ROUNDUP(U18/T18,0),"检查输入")))))</f>
        <v/>
      </c>
      <c r="W18" s="10">
        <f>IF(A18="","",IF(OR(NOT(ISNUMBER(T18)),NOT(ISNUMBER(U18)),NOT(ISNUMBER(Q18))),"待补充",IF(OR(Q18&lt;0,Q18&lt;&gt;INT(Q18)),"检查输入",ROUND(Q18*T18-U18,4))))</f>
        <v/>
      </c>
    </row>
    <row r="19" spans="18:23" ht="34" customHeight="1">
      <c r="R19" s="10">
        <f>IF(A19="","",IF(COUNT(G19,L19)&lt;2,"待补充",IF(OR(G19&lt;0,L19&lt;0,L19&gt;1),"检查输入",G19*L19)))</f>
        <v/>
      </c>
      <c r="S19" s="10">
        <f>IF(A19="","",IF(COUNT(M19:N19)&lt;2,"待补充",IF(OR(M19&lt;0,M19&gt;1,N19&lt;0),"检查输入",M19*N19)))</f>
        <v/>
      </c>
      <c r="T19" s="10">
        <f>IF(A19="","",IF(COUNT(F19:N19)&lt;9,"待补充",IF(OR(MIN(F19:N19)&lt;0,L19&gt;1,M19&gt;1),"检查输入",ROUND(F19-SUM(H19:K19)-R19-S19,4))))</f>
        <v/>
      </c>
      <c r="U19" s="10">
        <f>IF(A19="","",IF(COUNT(O19:P19)&lt;2,"待补充",IF(MIN(O19:P19)&lt;0,"检查输入",SUM(O19:P19))))</f>
        <v/>
      </c>
      <c r="V19" s="9">
        <f>IF(A19="","",IF(OR(T19="检查输入",U19="检查输入"),"检查输入",IF(OR(NOT(ISNUMBER(T19)),NOT(ISNUMBER(U19))),"待补充",IF(T19&lt;=0,"不可保本",IFERROR(ROUNDUP(U19/T19,0),"检查输入")))))</f>
        <v/>
      </c>
      <c r="W19" s="10">
        <f>IF(A19="","",IF(OR(NOT(ISNUMBER(T19)),NOT(ISNUMBER(U19)),NOT(ISNUMBER(Q19))),"待补充",IF(OR(Q19&lt;0,Q19&lt;&gt;INT(Q19)),"检查输入",ROUND(Q19*T19-U19,4))))</f>
        <v/>
      </c>
    </row>
    <row r="20" spans="18:23" ht="34" customHeight="1">
      <c r="R20" s="10">
        <f>IF(A20="","",IF(COUNT(G20,L20)&lt;2,"待补充",IF(OR(G20&lt;0,L20&lt;0,L20&gt;1),"检查输入",G20*L20)))</f>
        <v/>
      </c>
      <c r="S20" s="10">
        <f>IF(A20="","",IF(COUNT(M20:N20)&lt;2,"待补充",IF(OR(M20&lt;0,M20&gt;1,N20&lt;0),"检查输入",M20*N20)))</f>
        <v/>
      </c>
      <c r="T20" s="10">
        <f>IF(A20="","",IF(COUNT(F20:N20)&lt;9,"待补充",IF(OR(MIN(F20:N20)&lt;0,L20&gt;1,M20&gt;1),"检查输入",ROUND(F20-SUM(H20:K20)-R20-S20,4))))</f>
        <v/>
      </c>
      <c r="U20" s="10">
        <f>IF(A20="","",IF(COUNT(O20:P20)&lt;2,"待补充",IF(MIN(O20:P20)&lt;0,"检查输入",SUM(O20:P20))))</f>
        <v/>
      </c>
      <c r="V20" s="9">
        <f>IF(A20="","",IF(OR(T20="检查输入",U20="检查输入"),"检查输入",IF(OR(NOT(ISNUMBER(T20)),NOT(ISNUMBER(U20))),"待补充",IF(T20&lt;=0,"不可保本",IFERROR(ROUNDUP(U20/T20,0),"检查输入")))))</f>
        <v/>
      </c>
      <c r="W20" s="10">
        <f>IF(A20="","",IF(OR(NOT(ISNUMBER(T20)),NOT(ISNUMBER(U20)),NOT(ISNUMBER(Q20))),"待补充",IF(OR(Q20&lt;0,Q20&lt;&gt;INT(Q20)),"检查输入",ROUND(Q20*T20-U20,4))))</f>
        <v/>
      </c>
    </row>
    <row r="21" spans="18:23" ht="34" customHeight="1">
      <c r="R21" s="10">
        <f>IF(A21="","",IF(COUNT(G21,L21)&lt;2,"待补充",IF(OR(G21&lt;0,L21&lt;0,L21&gt;1),"检查输入",G21*L21)))</f>
        <v/>
      </c>
      <c r="S21" s="10">
        <f>IF(A21="","",IF(COUNT(M21:N21)&lt;2,"待补充",IF(OR(M21&lt;0,M21&gt;1,N21&lt;0),"检查输入",M21*N21)))</f>
        <v/>
      </c>
      <c r="T21" s="10">
        <f>IF(A21="","",IF(COUNT(F21:N21)&lt;9,"待补充",IF(OR(MIN(F21:N21)&lt;0,L21&gt;1,M21&gt;1),"检查输入",ROUND(F21-SUM(H21:K21)-R21-S21,4))))</f>
        <v/>
      </c>
      <c r="U21" s="10">
        <f>IF(A21="","",IF(COUNT(O21:P21)&lt;2,"待补充",IF(MIN(O21:P21)&lt;0,"检查输入",SUM(O21:P21))))</f>
        <v/>
      </c>
      <c r="V21" s="9">
        <f>IF(A21="","",IF(OR(T21="检查输入",U21="检查输入"),"检查输入",IF(OR(NOT(ISNUMBER(T21)),NOT(ISNUMBER(U21))),"待补充",IF(T21&lt;=0,"不可保本",IFERROR(ROUNDUP(U21/T21,0),"检查输入")))))</f>
        <v/>
      </c>
      <c r="W21" s="10">
        <f>IF(A21="","",IF(OR(NOT(ISNUMBER(T21)),NOT(ISNUMBER(U21)),NOT(ISNUMBER(Q21))),"待补充",IF(OR(Q21&lt;0,Q21&lt;&gt;INT(Q21)),"检查输入",ROUND(Q21*T21-U21,4))))</f>
        <v/>
      </c>
    </row>
    <row r="22" spans="18:23" ht="34" customHeight="1">
      <c r="R22" s="10">
        <f>IF(A22="","",IF(COUNT(G22,L22)&lt;2,"待补充",IF(OR(G22&lt;0,L22&lt;0,L22&gt;1),"检查输入",G22*L22)))</f>
        <v/>
      </c>
      <c r="S22" s="10">
        <f>IF(A22="","",IF(COUNT(M22:N22)&lt;2,"待补充",IF(OR(M22&lt;0,M22&gt;1,N22&lt;0),"检查输入",M22*N22)))</f>
        <v/>
      </c>
      <c r="T22" s="10">
        <f>IF(A22="","",IF(COUNT(F22:N22)&lt;9,"待补充",IF(OR(MIN(F22:N22)&lt;0,L22&gt;1,M22&gt;1),"检查输入",ROUND(F22-SUM(H22:K22)-R22-S22,4))))</f>
        <v/>
      </c>
      <c r="U22" s="10">
        <f>IF(A22="","",IF(COUNT(O22:P22)&lt;2,"待补充",IF(MIN(O22:P22)&lt;0,"检查输入",SUM(O22:P22))))</f>
        <v/>
      </c>
      <c r="V22" s="9">
        <f>IF(A22="","",IF(OR(T22="检查输入",U22="检查输入"),"检查输入",IF(OR(NOT(ISNUMBER(T22)),NOT(ISNUMBER(U22))),"待补充",IF(T22&lt;=0,"不可保本",IFERROR(ROUNDUP(U22/T22,0),"检查输入")))))</f>
        <v/>
      </c>
      <c r="W22" s="10">
        <f>IF(A22="","",IF(OR(NOT(ISNUMBER(T22)),NOT(ISNUMBER(U22)),NOT(ISNUMBER(Q22))),"待补充",IF(OR(Q22&lt;0,Q22&lt;&gt;INT(Q22)),"检查输入",ROUND(Q22*T22-U22,4))))</f>
        <v/>
      </c>
    </row>
    <row r="23" spans="18:23" ht="34" customHeight="1">
      <c r="R23" s="10">
        <f>IF(A23="","",IF(COUNT(G23,L23)&lt;2,"待补充",IF(OR(G23&lt;0,L23&lt;0,L23&gt;1),"检查输入",G23*L23)))</f>
        <v/>
      </c>
      <c r="S23" s="10">
        <f>IF(A23="","",IF(COUNT(M23:N23)&lt;2,"待补充",IF(OR(M23&lt;0,M23&gt;1,N23&lt;0),"检查输入",M23*N23)))</f>
        <v/>
      </c>
      <c r="T23" s="10">
        <f>IF(A23="","",IF(COUNT(F23:N23)&lt;9,"待补充",IF(OR(MIN(F23:N23)&lt;0,L23&gt;1,M23&gt;1),"检查输入",ROUND(F23-SUM(H23:K23)-R23-S23,4))))</f>
        <v/>
      </c>
      <c r="U23" s="10">
        <f>IF(A23="","",IF(COUNT(O23:P23)&lt;2,"待补充",IF(MIN(O23:P23)&lt;0,"检查输入",SUM(O23:P23))))</f>
        <v/>
      </c>
      <c r="V23" s="9">
        <f>IF(A23="","",IF(OR(T23="检查输入",U23="检查输入"),"检查输入",IF(OR(NOT(ISNUMBER(T23)),NOT(ISNUMBER(U23))),"待补充",IF(T23&lt;=0,"不可保本",IFERROR(ROUNDUP(U23/T23,0),"检查输入")))))</f>
        <v/>
      </c>
      <c r="W23" s="10">
        <f>IF(A23="","",IF(OR(NOT(ISNUMBER(T23)),NOT(ISNUMBER(U23)),NOT(ISNUMBER(Q23))),"待补充",IF(OR(Q23&lt;0,Q23&lt;&gt;INT(Q23)),"检查输入",ROUND(Q23*T23-U23,4))))</f>
        <v/>
      </c>
    </row>
    <row r="24" spans="18:23" ht="34" customHeight="1">
      <c r="R24" s="10">
        <f>IF(A24="","",IF(COUNT(G24,L24)&lt;2,"待补充",IF(OR(G24&lt;0,L24&lt;0,L24&gt;1),"检查输入",G24*L24)))</f>
        <v/>
      </c>
      <c r="S24" s="10">
        <f>IF(A24="","",IF(COUNT(M24:N24)&lt;2,"待补充",IF(OR(M24&lt;0,M24&gt;1,N24&lt;0),"检查输入",M24*N24)))</f>
        <v/>
      </c>
      <c r="T24" s="10">
        <f>IF(A24="","",IF(COUNT(F24:N24)&lt;9,"待补充",IF(OR(MIN(F24:N24)&lt;0,L24&gt;1,M24&gt;1),"检查输入",ROUND(F24-SUM(H24:K24)-R24-S24,4))))</f>
        <v/>
      </c>
      <c r="U24" s="10">
        <f>IF(A24="","",IF(COUNT(O24:P24)&lt;2,"待补充",IF(MIN(O24:P24)&lt;0,"检查输入",SUM(O24:P24))))</f>
        <v/>
      </c>
      <c r="V24" s="9">
        <f>IF(A24="","",IF(OR(T24="检查输入",U24="检查输入"),"检查输入",IF(OR(NOT(ISNUMBER(T24)),NOT(ISNUMBER(U24))),"待补充",IF(T24&lt;=0,"不可保本",IFERROR(ROUNDUP(U24/T24,0),"检查输入")))))</f>
        <v/>
      </c>
      <c r="W24" s="10">
        <f>IF(A24="","",IF(OR(NOT(ISNUMBER(T24)),NOT(ISNUMBER(U24)),NOT(ISNUMBER(Q24))),"待补充",IF(OR(Q24&lt;0,Q24&lt;&gt;INT(Q24)),"检查输入",ROUND(Q24*T24-U24,4))))</f>
        <v/>
      </c>
    </row>
    <row r="25" spans="18:23" ht="34" customHeight="1">
      <c r="R25" s="10">
        <f>IF(A25="","",IF(COUNT(G25,L25)&lt;2,"待补充",IF(OR(G25&lt;0,L25&lt;0,L25&gt;1),"检查输入",G25*L25)))</f>
        <v/>
      </c>
      <c r="S25" s="10">
        <f>IF(A25="","",IF(COUNT(M25:N25)&lt;2,"待补充",IF(OR(M25&lt;0,M25&gt;1,N25&lt;0),"检查输入",M25*N25)))</f>
        <v/>
      </c>
      <c r="T25" s="10">
        <f>IF(A25="","",IF(COUNT(F25:N25)&lt;9,"待补充",IF(OR(MIN(F25:N25)&lt;0,L25&gt;1,M25&gt;1),"检查输入",ROUND(F25-SUM(H25:K25)-R25-S25,4))))</f>
        <v/>
      </c>
      <c r="U25" s="10">
        <f>IF(A25="","",IF(COUNT(O25:P25)&lt;2,"待补充",IF(MIN(O25:P25)&lt;0,"检查输入",SUM(O25:P25))))</f>
        <v/>
      </c>
      <c r="V25" s="9">
        <f>IF(A25="","",IF(OR(T25="检查输入",U25="检查输入"),"检查输入",IF(OR(NOT(ISNUMBER(T25)),NOT(ISNUMBER(U25))),"待补充",IF(T25&lt;=0,"不可保本",IFERROR(ROUNDUP(U25/T25,0),"检查输入")))))</f>
        <v/>
      </c>
      <c r="W25" s="10">
        <f>IF(A25="","",IF(OR(NOT(ISNUMBER(T25)),NOT(ISNUMBER(U25)),NOT(ISNUMBER(Q25))),"待补充",IF(OR(Q25&lt;0,Q25&lt;&gt;INT(Q25)),"检查输入",ROUND(Q25*T25-U25,4))))</f>
        <v/>
      </c>
    </row>
    <row r="26" spans="18:23" ht="34" customHeight="1">
      <c r="R26" s="10">
        <f>IF(A26="","",IF(COUNT(G26,L26)&lt;2,"待补充",IF(OR(G26&lt;0,L26&lt;0,L26&gt;1),"检查输入",G26*L26)))</f>
        <v/>
      </c>
      <c r="S26" s="10">
        <f>IF(A26="","",IF(COUNT(M26:N26)&lt;2,"待补充",IF(OR(M26&lt;0,M26&gt;1,N26&lt;0),"检查输入",M26*N26)))</f>
        <v/>
      </c>
      <c r="T26" s="10">
        <f>IF(A26="","",IF(COUNT(F26:N26)&lt;9,"待补充",IF(OR(MIN(F26:N26)&lt;0,L26&gt;1,M26&gt;1),"检查输入",ROUND(F26-SUM(H26:K26)-R26-S26,4))))</f>
        <v/>
      </c>
      <c r="U26" s="10">
        <f>IF(A26="","",IF(COUNT(O26:P26)&lt;2,"待补充",IF(MIN(O26:P26)&lt;0,"检查输入",SUM(O26:P26))))</f>
        <v/>
      </c>
      <c r="V26" s="9">
        <f>IF(A26="","",IF(OR(T26="检查输入",U26="检查输入"),"检查输入",IF(OR(NOT(ISNUMBER(T26)),NOT(ISNUMBER(U26))),"待补充",IF(T26&lt;=0,"不可保本",IFERROR(ROUNDUP(U26/T26,0),"检查输入")))))</f>
        <v/>
      </c>
      <c r="W26" s="10">
        <f>IF(A26="","",IF(OR(NOT(ISNUMBER(T26)),NOT(ISNUMBER(U26)),NOT(ISNUMBER(Q26))),"待补充",IF(OR(Q26&lt;0,Q26&lt;&gt;INT(Q26)),"检查输入",ROUND(Q26*T26-U26,4))))</f>
        <v/>
      </c>
    </row>
    <row r="27" spans="18:23" ht="34" customHeight="1">
      <c r="R27" s="10">
        <f>IF(A27="","",IF(COUNT(G27,L27)&lt;2,"待补充",IF(OR(G27&lt;0,L27&lt;0,L27&gt;1),"检查输入",G27*L27)))</f>
        <v/>
      </c>
      <c r="S27" s="10">
        <f>IF(A27="","",IF(COUNT(M27:N27)&lt;2,"待补充",IF(OR(M27&lt;0,M27&gt;1,N27&lt;0),"检查输入",M27*N27)))</f>
        <v/>
      </c>
      <c r="T27" s="10">
        <f>IF(A27="","",IF(COUNT(F27:N27)&lt;9,"待补充",IF(OR(MIN(F27:N27)&lt;0,L27&gt;1,M27&gt;1),"检查输入",ROUND(F27-SUM(H27:K27)-R27-S27,4))))</f>
        <v/>
      </c>
      <c r="U27" s="10">
        <f>IF(A27="","",IF(COUNT(O27:P27)&lt;2,"待补充",IF(MIN(O27:P27)&lt;0,"检查输入",SUM(O27:P27))))</f>
        <v/>
      </c>
      <c r="V27" s="9">
        <f>IF(A27="","",IF(OR(T27="检查输入",U27="检查输入"),"检查输入",IF(OR(NOT(ISNUMBER(T27)),NOT(ISNUMBER(U27))),"待补充",IF(T27&lt;=0,"不可保本",IFERROR(ROUNDUP(U27/T27,0),"检查输入")))))</f>
        <v/>
      </c>
      <c r="W27" s="10">
        <f>IF(A27="","",IF(OR(NOT(ISNUMBER(T27)),NOT(ISNUMBER(U27)),NOT(ISNUMBER(Q27))),"待补充",IF(OR(Q27&lt;0,Q27&lt;&gt;INT(Q27)),"检查输入",ROUND(Q27*T27-U27,4))))</f>
        <v/>
      </c>
    </row>
    <row r="28" spans="18:23" ht="34" customHeight="1">
      <c r="R28" s="10">
        <f>IF(A28="","",IF(COUNT(G28,L28)&lt;2,"待补充",IF(OR(G28&lt;0,L28&lt;0,L28&gt;1),"检查输入",G28*L28)))</f>
        <v/>
      </c>
      <c r="S28" s="10">
        <f>IF(A28="","",IF(COUNT(M28:N28)&lt;2,"待补充",IF(OR(M28&lt;0,M28&gt;1,N28&lt;0),"检查输入",M28*N28)))</f>
        <v/>
      </c>
      <c r="T28" s="10">
        <f>IF(A28="","",IF(COUNT(F28:N28)&lt;9,"待补充",IF(OR(MIN(F28:N28)&lt;0,L28&gt;1,M28&gt;1),"检查输入",ROUND(F28-SUM(H28:K28)-R28-S28,4))))</f>
        <v/>
      </c>
      <c r="U28" s="10">
        <f>IF(A28="","",IF(COUNT(O28:P28)&lt;2,"待补充",IF(MIN(O28:P28)&lt;0,"检查输入",SUM(O28:P28))))</f>
        <v/>
      </c>
      <c r="V28" s="9">
        <f>IF(A28="","",IF(OR(T28="检查输入",U28="检查输入"),"检查输入",IF(OR(NOT(ISNUMBER(T28)),NOT(ISNUMBER(U28))),"待补充",IF(T28&lt;=0,"不可保本",IFERROR(ROUNDUP(U28/T28,0),"检查输入")))))</f>
        <v/>
      </c>
      <c r="W28" s="10">
        <f>IF(A28="","",IF(OR(NOT(ISNUMBER(T28)),NOT(ISNUMBER(U28)),NOT(ISNUMBER(Q28))),"待补充",IF(OR(Q28&lt;0,Q28&lt;&gt;INT(Q28)),"检查输入",ROUND(Q28*T28-U28,4))))</f>
        <v/>
      </c>
    </row>
    <row r="29" spans="18:23" ht="34" customHeight="1">
      <c r="R29" s="10">
        <f>IF(A29="","",IF(COUNT(G29,L29)&lt;2,"待补充",IF(OR(G29&lt;0,L29&lt;0,L29&gt;1),"检查输入",G29*L29)))</f>
        <v/>
      </c>
      <c r="S29" s="10">
        <f>IF(A29="","",IF(COUNT(M29:N29)&lt;2,"待补充",IF(OR(M29&lt;0,M29&gt;1,N29&lt;0),"检查输入",M29*N29)))</f>
        <v/>
      </c>
      <c r="T29" s="10">
        <f>IF(A29="","",IF(COUNT(F29:N29)&lt;9,"待补充",IF(OR(MIN(F29:N29)&lt;0,L29&gt;1,M29&gt;1),"检查输入",ROUND(F29-SUM(H29:K29)-R29-S29,4))))</f>
        <v/>
      </c>
      <c r="U29" s="10">
        <f>IF(A29="","",IF(COUNT(O29:P29)&lt;2,"待补充",IF(MIN(O29:P29)&lt;0,"检查输入",SUM(O29:P29))))</f>
        <v/>
      </c>
      <c r="V29" s="9">
        <f>IF(A29="","",IF(OR(T29="检查输入",U29="检查输入"),"检查输入",IF(OR(NOT(ISNUMBER(T29)),NOT(ISNUMBER(U29))),"待补充",IF(T29&lt;=0,"不可保本",IFERROR(ROUNDUP(U29/T29,0),"检查输入")))))</f>
        <v/>
      </c>
      <c r="W29" s="10">
        <f>IF(A29="","",IF(OR(NOT(ISNUMBER(T29)),NOT(ISNUMBER(U29)),NOT(ISNUMBER(Q29))),"待补充",IF(OR(Q29&lt;0,Q29&lt;&gt;INT(Q29)),"检查输入",ROUND(Q29*T29-U29,4))))</f>
        <v/>
      </c>
    </row>
    <row r="30" spans="18:23" ht="34" customHeight="1">
      <c r="R30" s="10">
        <f>IF(A30="","",IF(COUNT(G30,L30)&lt;2,"待补充",IF(OR(G30&lt;0,L30&lt;0,L30&gt;1),"检查输入",G30*L30)))</f>
        <v/>
      </c>
      <c r="S30" s="10">
        <f>IF(A30="","",IF(COUNT(M30:N30)&lt;2,"待补充",IF(OR(M30&lt;0,M30&gt;1,N30&lt;0),"检查输入",M30*N30)))</f>
        <v/>
      </c>
      <c r="T30" s="10">
        <f>IF(A30="","",IF(COUNT(F30:N30)&lt;9,"待补充",IF(OR(MIN(F30:N30)&lt;0,L30&gt;1,M30&gt;1),"检查输入",ROUND(F30-SUM(H30:K30)-R30-S30,4))))</f>
        <v/>
      </c>
      <c r="U30" s="10">
        <f>IF(A30="","",IF(COUNT(O30:P30)&lt;2,"待补充",IF(MIN(O30:P30)&lt;0,"检查输入",SUM(O30:P30))))</f>
        <v/>
      </c>
      <c r="V30" s="9">
        <f>IF(A30="","",IF(OR(T30="检查输入",U30="检查输入"),"检查输入",IF(OR(NOT(ISNUMBER(T30)),NOT(ISNUMBER(U30))),"待补充",IF(T30&lt;=0,"不可保本",IFERROR(ROUNDUP(U30/T30,0),"检查输入")))))</f>
        <v/>
      </c>
      <c r="W30" s="10">
        <f>IF(A30="","",IF(OR(NOT(ISNUMBER(T30)),NOT(ISNUMBER(U30)),NOT(ISNUMBER(Q30))),"待补充",IF(OR(Q30&lt;0,Q30&lt;&gt;INT(Q30)),"检查输入",ROUND(Q30*T30-U30,4))))</f>
        <v/>
      </c>
    </row>
    <row r="31" spans="18:23" ht="34" customHeight="1">
      <c r="R31" s="10">
        <f>IF(A31="","",IF(COUNT(G31,L31)&lt;2,"待补充",IF(OR(G31&lt;0,L31&lt;0,L31&gt;1),"检查输入",G31*L31)))</f>
        <v/>
      </c>
      <c r="S31" s="10">
        <f>IF(A31="","",IF(COUNT(M31:N31)&lt;2,"待补充",IF(OR(M31&lt;0,M31&gt;1,N31&lt;0),"检查输入",M31*N31)))</f>
        <v/>
      </c>
      <c r="T31" s="10">
        <f>IF(A31="","",IF(COUNT(F31:N31)&lt;9,"待补充",IF(OR(MIN(F31:N31)&lt;0,L31&gt;1,M31&gt;1),"检查输入",ROUND(F31-SUM(H31:K31)-R31-S31,4))))</f>
        <v/>
      </c>
      <c r="U31" s="10">
        <f>IF(A31="","",IF(COUNT(O31:P31)&lt;2,"待补充",IF(MIN(O31:P31)&lt;0,"检查输入",SUM(O31:P31))))</f>
        <v/>
      </c>
      <c r="V31" s="9">
        <f>IF(A31="","",IF(OR(T31="检查输入",U31="检查输入"),"检查输入",IF(OR(NOT(ISNUMBER(T31)),NOT(ISNUMBER(U31))),"待补充",IF(T31&lt;=0,"不可保本",IFERROR(ROUNDUP(U31/T31,0),"检查输入")))))</f>
        <v/>
      </c>
      <c r="W31" s="10">
        <f>IF(A31="","",IF(OR(NOT(ISNUMBER(T31)),NOT(ISNUMBER(U31)),NOT(ISNUMBER(Q31))),"待补充",IF(OR(Q31&lt;0,Q31&lt;&gt;INT(Q31)),"检查输入",ROUND(Q31*T31-U31,4))))</f>
        <v/>
      </c>
    </row>
    <row r="32" spans="18:23" ht="34" customHeight="1">
      <c r="R32" s="10">
        <f>IF(A32="","",IF(COUNT(G32,L32)&lt;2,"待补充",IF(OR(G32&lt;0,L32&lt;0,L32&gt;1),"检查输入",G32*L32)))</f>
        <v/>
      </c>
      <c r="S32" s="10">
        <f>IF(A32="","",IF(COUNT(M32:N32)&lt;2,"待补充",IF(OR(M32&lt;0,M32&gt;1,N32&lt;0),"检查输入",M32*N32)))</f>
        <v/>
      </c>
      <c r="T32" s="10">
        <f>IF(A32="","",IF(COUNT(F32:N32)&lt;9,"待补充",IF(OR(MIN(F32:N32)&lt;0,L32&gt;1,M32&gt;1),"检查输入",ROUND(F32-SUM(H32:K32)-R32-S32,4))))</f>
        <v/>
      </c>
      <c r="U32" s="10">
        <f>IF(A32="","",IF(COUNT(O32:P32)&lt;2,"待补充",IF(MIN(O32:P32)&lt;0,"检查输入",SUM(O32:P32))))</f>
        <v/>
      </c>
      <c r="V32" s="9">
        <f>IF(A32="","",IF(OR(T32="检查输入",U32="检查输入"),"检查输入",IF(OR(NOT(ISNUMBER(T32)),NOT(ISNUMBER(U32))),"待补充",IF(T32&lt;=0,"不可保本",IFERROR(ROUNDUP(U32/T32,0),"检查输入")))))</f>
        <v/>
      </c>
      <c r="W32" s="10">
        <f>IF(A32="","",IF(OR(NOT(ISNUMBER(T32)),NOT(ISNUMBER(U32)),NOT(ISNUMBER(Q32))),"待补充",IF(OR(Q32&lt;0,Q32&lt;&gt;INT(Q32)),"检查输入",ROUND(Q32*T32-U32,4))))</f>
        <v/>
      </c>
    </row>
    <row r="33" spans="18:23" ht="34" customHeight="1">
      <c r="R33" s="10">
        <f>IF(A33="","",IF(COUNT(G33,L33)&lt;2,"待补充",IF(OR(G33&lt;0,L33&lt;0,L33&gt;1),"检查输入",G33*L33)))</f>
        <v/>
      </c>
      <c r="S33" s="10">
        <f>IF(A33="","",IF(COUNT(M33:N33)&lt;2,"待补充",IF(OR(M33&lt;0,M33&gt;1,N33&lt;0),"检查输入",M33*N33)))</f>
        <v/>
      </c>
      <c r="T33" s="10">
        <f>IF(A33="","",IF(COUNT(F33:N33)&lt;9,"待补充",IF(OR(MIN(F33:N33)&lt;0,L33&gt;1,M33&gt;1),"检查输入",ROUND(F33-SUM(H33:K33)-R33-S33,4))))</f>
        <v/>
      </c>
      <c r="U33" s="10">
        <f>IF(A33="","",IF(COUNT(O33:P33)&lt;2,"待补充",IF(MIN(O33:P33)&lt;0,"检查输入",SUM(O33:P33))))</f>
        <v/>
      </c>
      <c r="V33" s="9">
        <f>IF(A33="","",IF(OR(T33="检查输入",U33="检查输入"),"检查输入",IF(OR(NOT(ISNUMBER(T33)),NOT(ISNUMBER(U33))),"待补充",IF(T33&lt;=0,"不可保本",IFERROR(ROUNDUP(U33/T33,0),"检查输入")))))</f>
        <v/>
      </c>
      <c r="W33" s="10">
        <f>IF(A33="","",IF(OR(NOT(ISNUMBER(T33)),NOT(ISNUMBER(U33)),NOT(ISNUMBER(Q33))),"待补充",IF(OR(Q33&lt;0,Q33&lt;&gt;INT(Q33)),"检查输入",ROUND(Q33*T33-U33,4))))</f>
        <v/>
      </c>
    </row>
    <row r="34" spans="18:23" ht="34" customHeight="1">
      <c r="R34" s="10">
        <f>IF(A34="","",IF(COUNT(G34,L34)&lt;2,"待补充",IF(OR(G34&lt;0,L34&lt;0,L34&gt;1),"检查输入",G34*L34)))</f>
        <v/>
      </c>
      <c r="S34" s="10">
        <f>IF(A34="","",IF(COUNT(M34:N34)&lt;2,"待补充",IF(OR(M34&lt;0,M34&gt;1,N34&lt;0),"检查输入",M34*N34)))</f>
        <v/>
      </c>
      <c r="T34" s="10">
        <f>IF(A34="","",IF(COUNT(F34:N34)&lt;9,"待补充",IF(OR(MIN(F34:N34)&lt;0,L34&gt;1,M34&gt;1),"检查输入",ROUND(F34-SUM(H34:K34)-R34-S34,4))))</f>
        <v/>
      </c>
      <c r="U34" s="10">
        <f>IF(A34="","",IF(COUNT(O34:P34)&lt;2,"待补充",IF(MIN(O34:P34)&lt;0,"检查输入",SUM(O34:P34))))</f>
        <v/>
      </c>
      <c r="V34" s="9">
        <f>IF(A34="","",IF(OR(T34="检查输入",U34="检查输入"),"检查输入",IF(OR(NOT(ISNUMBER(T34)),NOT(ISNUMBER(U34))),"待补充",IF(T34&lt;=0,"不可保本",IFERROR(ROUNDUP(U34/T34,0),"检查输入")))))</f>
        <v/>
      </c>
      <c r="W34" s="10">
        <f>IF(A34="","",IF(OR(NOT(ISNUMBER(T34)),NOT(ISNUMBER(U34)),NOT(ISNUMBER(Q34))),"待补充",IF(OR(Q34&lt;0,Q34&lt;&gt;INT(Q34)),"检查输入",ROUND(Q34*T34-U34,4))))</f>
        <v/>
      </c>
    </row>
    <row r="35" spans="18:23" ht="34" customHeight="1">
      <c r="R35" s="10">
        <f>IF(A35="","",IF(COUNT(G35,L35)&lt;2,"待补充",IF(OR(G35&lt;0,L35&lt;0,L35&gt;1),"检查输入",G35*L35)))</f>
        <v/>
      </c>
      <c r="S35" s="10">
        <f>IF(A35="","",IF(COUNT(M35:N35)&lt;2,"待补充",IF(OR(M35&lt;0,M35&gt;1,N35&lt;0),"检查输入",M35*N35)))</f>
        <v/>
      </c>
      <c r="T35" s="10">
        <f>IF(A35="","",IF(COUNT(F35:N35)&lt;9,"待补充",IF(OR(MIN(F35:N35)&lt;0,L35&gt;1,M35&gt;1),"检查输入",ROUND(F35-SUM(H35:K35)-R35-S35,4))))</f>
        <v/>
      </c>
      <c r="U35" s="10">
        <f>IF(A35="","",IF(COUNT(O35:P35)&lt;2,"待补充",IF(MIN(O35:P35)&lt;0,"检查输入",SUM(O35:P35))))</f>
        <v/>
      </c>
      <c r="V35" s="9">
        <f>IF(A35="","",IF(OR(T35="检查输入",U35="检查输入"),"检查输入",IF(OR(NOT(ISNUMBER(T35)),NOT(ISNUMBER(U35))),"待补充",IF(T35&lt;=0,"不可保本",IFERROR(ROUNDUP(U35/T35,0),"检查输入")))))</f>
        <v/>
      </c>
      <c r="W35" s="10">
        <f>IF(A35="","",IF(OR(NOT(ISNUMBER(T35)),NOT(ISNUMBER(U35)),NOT(ISNUMBER(Q35))),"待补充",IF(OR(Q35&lt;0,Q35&lt;&gt;INT(Q35)),"检查输入",ROUND(Q35*T35-U35,4))))</f>
        <v/>
      </c>
    </row>
    <row r="36" spans="18:23" ht="34" customHeight="1">
      <c r="R36" s="10">
        <f>IF(A36="","",IF(COUNT(G36,L36)&lt;2,"待补充",IF(OR(G36&lt;0,L36&lt;0,L36&gt;1),"检查输入",G36*L36)))</f>
        <v/>
      </c>
      <c r="S36" s="10">
        <f>IF(A36="","",IF(COUNT(M36:N36)&lt;2,"待补充",IF(OR(M36&lt;0,M36&gt;1,N36&lt;0),"检查输入",M36*N36)))</f>
        <v/>
      </c>
      <c r="T36" s="10">
        <f>IF(A36="","",IF(COUNT(F36:N36)&lt;9,"待补充",IF(OR(MIN(F36:N36)&lt;0,L36&gt;1,M36&gt;1),"检查输入",ROUND(F36-SUM(H36:K36)-R36-S36,4))))</f>
        <v/>
      </c>
      <c r="U36" s="10">
        <f>IF(A36="","",IF(COUNT(O36:P36)&lt;2,"待补充",IF(MIN(O36:P36)&lt;0,"检查输入",SUM(O36:P36))))</f>
        <v/>
      </c>
      <c r="V36" s="9">
        <f>IF(A36="","",IF(OR(T36="检查输入",U36="检查输入"),"检查输入",IF(OR(NOT(ISNUMBER(T36)),NOT(ISNUMBER(U36))),"待补充",IF(T36&lt;=0,"不可保本",IFERROR(ROUNDUP(U36/T36,0),"检查输入")))))</f>
        <v/>
      </c>
      <c r="W36" s="10">
        <f>IF(A36="","",IF(OR(NOT(ISNUMBER(T36)),NOT(ISNUMBER(U36)),NOT(ISNUMBER(Q36))),"待补充",IF(OR(Q36&lt;0,Q36&lt;&gt;INT(Q36)),"检查输入",ROUND(Q36*T36-U36,4))))</f>
        <v/>
      </c>
    </row>
    <row r="37" spans="18:23" ht="34" customHeight="1">
      <c r="R37" s="10">
        <f>IF(A37="","",IF(COUNT(G37,L37)&lt;2,"待补充",IF(OR(G37&lt;0,L37&lt;0,L37&gt;1),"检查输入",G37*L37)))</f>
        <v/>
      </c>
      <c r="S37" s="10">
        <f>IF(A37="","",IF(COUNT(M37:N37)&lt;2,"待补充",IF(OR(M37&lt;0,M37&gt;1,N37&lt;0),"检查输入",M37*N37)))</f>
        <v/>
      </c>
      <c r="T37" s="10">
        <f>IF(A37="","",IF(COUNT(F37:N37)&lt;9,"待补充",IF(OR(MIN(F37:N37)&lt;0,L37&gt;1,M37&gt;1),"检查输入",ROUND(F37-SUM(H37:K37)-R37-S37,4))))</f>
        <v/>
      </c>
      <c r="U37" s="10">
        <f>IF(A37="","",IF(COUNT(O37:P37)&lt;2,"待补充",IF(MIN(O37:P37)&lt;0,"检查输入",SUM(O37:P37))))</f>
        <v/>
      </c>
      <c r="V37" s="9">
        <f>IF(A37="","",IF(OR(T37="检查输入",U37="检查输入"),"检查输入",IF(OR(NOT(ISNUMBER(T37)),NOT(ISNUMBER(U37))),"待补充",IF(T37&lt;=0,"不可保本",IFERROR(ROUNDUP(U37/T37,0),"检查输入")))))</f>
        <v/>
      </c>
      <c r="W37" s="10">
        <f>IF(A37="","",IF(OR(NOT(ISNUMBER(T37)),NOT(ISNUMBER(U37)),NOT(ISNUMBER(Q37))),"待补充",IF(OR(Q37&lt;0,Q37&lt;&gt;INT(Q37)),"检查输入",ROUND(Q37*T37-U37,4))))</f>
        <v/>
      </c>
    </row>
    <row r="38" spans="18:23" ht="34" customHeight="1">
      <c r="R38" s="10">
        <f>IF(A38="","",IF(COUNT(G38,L38)&lt;2,"待补充",IF(OR(G38&lt;0,L38&lt;0,L38&gt;1),"检查输入",G38*L38)))</f>
        <v/>
      </c>
      <c r="S38" s="10">
        <f>IF(A38="","",IF(COUNT(M38:N38)&lt;2,"待补充",IF(OR(M38&lt;0,M38&gt;1,N38&lt;0),"检查输入",M38*N38)))</f>
        <v/>
      </c>
      <c r="T38" s="10">
        <f>IF(A38="","",IF(COUNT(F38:N38)&lt;9,"待补充",IF(OR(MIN(F38:N38)&lt;0,L38&gt;1,M38&gt;1),"检查输入",ROUND(F38-SUM(H38:K38)-R38-S38,4))))</f>
        <v/>
      </c>
      <c r="U38" s="10">
        <f>IF(A38="","",IF(COUNT(O38:P38)&lt;2,"待补充",IF(MIN(O38:P38)&lt;0,"检查输入",SUM(O38:P38))))</f>
        <v/>
      </c>
      <c r="V38" s="9">
        <f>IF(A38="","",IF(OR(T38="检查输入",U38="检查输入"),"检查输入",IF(OR(NOT(ISNUMBER(T38)),NOT(ISNUMBER(U38))),"待补充",IF(T38&lt;=0,"不可保本",IFERROR(ROUNDUP(U38/T38,0),"检查输入")))))</f>
        <v/>
      </c>
      <c r="W38" s="10">
        <f>IF(A38="","",IF(OR(NOT(ISNUMBER(T38)),NOT(ISNUMBER(U38)),NOT(ISNUMBER(Q38))),"待补充",IF(OR(Q38&lt;0,Q38&lt;&gt;INT(Q38)),"检查输入",ROUND(Q38*T38-U38,4))))</f>
        <v/>
      </c>
    </row>
    <row r="39" spans="18:23" ht="34" customHeight="1">
      <c r="R39" s="10">
        <f>IF(A39="","",IF(COUNT(G39,L39)&lt;2,"待补充",IF(OR(G39&lt;0,L39&lt;0,L39&gt;1),"检查输入",G39*L39)))</f>
        <v/>
      </c>
      <c r="S39" s="10">
        <f>IF(A39="","",IF(COUNT(M39:N39)&lt;2,"待补充",IF(OR(M39&lt;0,M39&gt;1,N39&lt;0),"检查输入",M39*N39)))</f>
        <v/>
      </c>
      <c r="T39" s="10">
        <f>IF(A39="","",IF(COUNT(F39:N39)&lt;9,"待补充",IF(OR(MIN(F39:N39)&lt;0,L39&gt;1,M39&gt;1),"检查输入",ROUND(F39-SUM(H39:K39)-R39-S39,4))))</f>
        <v/>
      </c>
      <c r="U39" s="10">
        <f>IF(A39="","",IF(COUNT(O39:P39)&lt;2,"待补充",IF(MIN(O39:P39)&lt;0,"检查输入",SUM(O39:P39))))</f>
        <v/>
      </c>
      <c r="V39" s="9">
        <f>IF(A39="","",IF(OR(T39="检查输入",U39="检查输入"),"检查输入",IF(OR(NOT(ISNUMBER(T39)),NOT(ISNUMBER(U39))),"待补充",IF(T39&lt;=0,"不可保本",IFERROR(ROUNDUP(U39/T39,0),"检查输入")))))</f>
        <v/>
      </c>
      <c r="W39" s="10">
        <f>IF(A39="","",IF(OR(NOT(ISNUMBER(T39)),NOT(ISNUMBER(U39)),NOT(ISNUMBER(Q39))),"待补充",IF(OR(Q39&lt;0,Q39&lt;&gt;INT(Q39)),"检查输入",ROUND(Q39*T39-U39,4))))</f>
        <v/>
      </c>
    </row>
    <row r="40" spans="18:23" ht="34" customHeight="1">
      <c r="R40" s="10">
        <f>IF(A40="","",IF(COUNT(G40,L40)&lt;2,"待补充",IF(OR(G40&lt;0,L40&lt;0,L40&gt;1),"检查输入",G40*L40)))</f>
        <v/>
      </c>
      <c r="S40" s="10">
        <f>IF(A40="","",IF(COUNT(M40:N40)&lt;2,"待补充",IF(OR(M40&lt;0,M40&gt;1,N40&lt;0),"检查输入",M40*N40)))</f>
        <v/>
      </c>
      <c r="T40" s="10">
        <f>IF(A40="","",IF(COUNT(F40:N40)&lt;9,"待补充",IF(OR(MIN(F40:N40)&lt;0,L40&gt;1,M40&gt;1),"检查输入",ROUND(F40-SUM(H40:K40)-R40-S40,4))))</f>
        <v/>
      </c>
      <c r="U40" s="10">
        <f>IF(A40="","",IF(COUNT(O40:P40)&lt;2,"待补充",IF(MIN(O40:P40)&lt;0,"检查输入",SUM(O40:P40))))</f>
        <v/>
      </c>
      <c r="V40" s="9">
        <f>IF(A40="","",IF(OR(T40="检查输入",U40="检查输入"),"检查输入",IF(OR(NOT(ISNUMBER(T40)),NOT(ISNUMBER(U40))),"待补充",IF(T40&lt;=0,"不可保本",IFERROR(ROUNDUP(U40/T40,0),"检查输入")))))</f>
        <v/>
      </c>
      <c r="W40" s="10">
        <f>IF(A40="","",IF(OR(NOT(ISNUMBER(T40)),NOT(ISNUMBER(U40)),NOT(ISNUMBER(Q40))),"待补充",IF(OR(Q40&lt;0,Q40&lt;&gt;INT(Q40)),"检查输入",ROUND(Q40*T40-U40,4))))</f>
        <v/>
      </c>
    </row>
    <row r="41" spans="18:23" ht="34" customHeight="1">
      <c r="R41" s="10">
        <f>IF(A41="","",IF(COUNT(G41,L41)&lt;2,"待补充",IF(OR(G41&lt;0,L41&lt;0,L41&gt;1),"检查输入",G41*L41)))</f>
        <v/>
      </c>
      <c r="S41" s="10">
        <f>IF(A41="","",IF(COUNT(M41:N41)&lt;2,"待补充",IF(OR(M41&lt;0,M41&gt;1,N41&lt;0),"检查输入",M41*N41)))</f>
        <v/>
      </c>
      <c r="T41" s="10">
        <f>IF(A41="","",IF(COUNT(F41:N41)&lt;9,"待补充",IF(OR(MIN(F41:N41)&lt;0,L41&gt;1,M41&gt;1),"检查输入",ROUND(F41-SUM(H41:K41)-R41-S41,4))))</f>
        <v/>
      </c>
      <c r="U41" s="10">
        <f>IF(A41="","",IF(COUNT(O41:P41)&lt;2,"待补充",IF(MIN(O41:P41)&lt;0,"检查输入",SUM(O41:P41))))</f>
        <v/>
      </c>
      <c r="V41" s="9">
        <f>IF(A41="","",IF(OR(T41="检查输入",U41="检查输入"),"检查输入",IF(OR(NOT(ISNUMBER(T41)),NOT(ISNUMBER(U41))),"待补充",IF(T41&lt;=0,"不可保本",IFERROR(ROUNDUP(U41/T41,0),"检查输入")))))</f>
        <v/>
      </c>
      <c r="W41" s="10">
        <f>IF(A41="","",IF(OR(NOT(ISNUMBER(T41)),NOT(ISNUMBER(U41)),NOT(ISNUMBER(Q41))),"待补充",IF(OR(Q41&lt;0,Q41&lt;&gt;INT(Q41)),"检查输入",ROUND(Q41*T41-U41,4))))</f>
        <v/>
      </c>
    </row>
    <row r="42" spans="18:23" ht="34" customHeight="1">
      <c r="R42" s="10">
        <f>IF(A42="","",IF(COUNT(G42,L42)&lt;2,"待补充",IF(OR(G42&lt;0,L42&lt;0,L42&gt;1),"检查输入",G42*L42)))</f>
        <v/>
      </c>
      <c r="S42" s="10">
        <f>IF(A42="","",IF(COUNT(M42:N42)&lt;2,"待补充",IF(OR(M42&lt;0,M42&gt;1,N42&lt;0),"检查输入",M42*N42)))</f>
        <v/>
      </c>
      <c r="T42" s="10">
        <f>IF(A42="","",IF(COUNT(F42:N42)&lt;9,"待补充",IF(OR(MIN(F42:N42)&lt;0,L42&gt;1,M42&gt;1),"检查输入",ROUND(F42-SUM(H42:K42)-R42-S42,4))))</f>
        <v/>
      </c>
      <c r="U42" s="10">
        <f>IF(A42="","",IF(COUNT(O42:P42)&lt;2,"待补充",IF(MIN(O42:P42)&lt;0,"检查输入",SUM(O42:P42))))</f>
        <v/>
      </c>
      <c r="V42" s="9">
        <f>IF(A42="","",IF(OR(T42="检查输入",U42="检查输入"),"检查输入",IF(OR(NOT(ISNUMBER(T42)),NOT(ISNUMBER(U42))),"待补充",IF(T42&lt;=0,"不可保本",IFERROR(ROUNDUP(U42/T42,0),"检查输入")))))</f>
        <v/>
      </c>
      <c r="W42" s="10">
        <f>IF(A42="","",IF(OR(NOT(ISNUMBER(T42)),NOT(ISNUMBER(U42)),NOT(ISNUMBER(Q42))),"待补充",IF(OR(Q42&lt;0,Q42&lt;&gt;INT(Q42)),"检查输入",ROUND(Q42*T42-U42,4))))</f>
        <v/>
      </c>
    </row>
    <row r="43" spans="18:23" ht="34" customHeight="1">
      <c r="R43" s="10">
        <f>IF(A43="","",IF(COUNT(G43,L43)&lt;2,"待补充",IF(OR(G43&lt;0,L43&lt;0,L43&gt;1),"检查输入",G43*L43)))</f>
        <v/>
      </c>
      <c r="S43" s="10">
        <f>IF(A43="","",IF(COUNT(M43:N43)&lt;2,"待补充",IF(OR(M43&lt;0,M43&gt;1,N43&lt;0),"检查输入",M43*N43)))</f>
        <v/>
      </c>
      <c r="T43" s="10">
        <f>IF(A43="","",IF(COUNT(F43:N43)&lt;9,"待补充",IF(OR(MIN(F43:N43)&lt;0,L43&gt;1,M43&gt;1),"检查输入",ROUND(F43-SUM(H43:K43)-R43-S43,4))))</f>
        <v/>
      </c>
      <c r="U43" s="10">
        <f>IF(A43="","",IF(COUNT(O43:P43)&lt;2,"待补充",IF(MIN(O43:P43)&lt;0,"检查输入",SUM(O43:P43))))</f>
        <v/>
      </c>
      <c r="V43" s="9">
        <f>IF(A43="","",IF(OR(T43="检查输入",U43="检查输入"),"检查输入",IF(OR(NOT(ISNUMBER(T43)),NOT(ISNUMBER(U43))),"待补充",IF(T43&lt;=0,"不可保本",IFERROR(ROUNDUP(U43/T43,0),"检查输入")))))</f>
        <v/>
      </c>
      <c r="W43" s="10">
        <f>IF(A43="","",IF(OR(NOT(ISNUMBER(T43)),NOT(ISNUMBER(U43)),NOT(ISNUMBER(Q43))),"待补充",IF(OR(Q43&lt;0,Q43&lt;&gt;INT(Q43)),"检查输入",ROUND(Q43*T43-U43,4))))</f>
        <v/>
      </c>
    </row>
    <row r="44" spans="18:23" ht="34" customHeight="1">
      <c r="R44" s="10">
        <f>IF(A44="","",IF(COUNT(G44,L44)&lt;2,"待补充",IF(OR(G44&lt;0,L44&lt;0,L44&gt;1),"检查输入",G44*L44)))</f>
        <v/>
      </c>
      <c r="S44" s="10">
        <f>IF(A44="","",IF(COUNT(M44:N44)&lt;2,"待补充",IF(OR(M44&lt;0,M44&gt;1,N44&lt;0),"检查输入",M44*N44)))</f>
        <v/>
      </c>
      <c r="T44" s="10">
        <f>IF(A44="","",IF(COUNT(F44:N44)&lt;9,"待补充",IF(OR(MIN(F44:N44)&lt;0,L44&gt;1,M44&gt;1),"检查输入",ROUND(F44-SUM(H44:K44)-R44-S44,4))))</f>
        <v/>
      </c>
      <c r="U44" s="10">
        <f>IF(A44="","",IF(COUNT(O44:P44)&lt;2,"待补充",IF(MIN(O44:P44)&lt;0,"检查输入",SUM(O44:P44))))</f>
        <v/>
      </c>
      <c r="V44" s="9">
        <f>IF(A44="","",IF(OR(T44="检查输入",U44="检查输入"),"检查输入",IF(OR(NOT(ISNUMBER(T44)),NOT(ISNUMBER(U44))),"待补充",IF(T44&lt;=0,"不可保本",IFERROR(ROUNDUP(U44/T44,0),"检查输入")))))</f>
        <v/>
      </c>
      <c r="W44" s="10">
        <f>IF(A44="","",IF(OR(NOT(ISNUMBER(T44)),NOT(ISNUMBER(U44)),NOT(ISNUMBER(Q44))),"待补充",IF(OR(Q44&lt;0,Q44&lt;&gt;INT(Q44)),"检查输入",ROUND(Q44*T44-U44,4))))</f>
        <v/>
      </c>
    </row>
    <row r="45" spans="18:23" ht="34" customHeight="1">
      <c r="R45" s="10">
        <f>IF(A45="","",IF(COUNT(G45,L45)&lt;2,"待补充",IF(OR(G45&lt;0,L45&lt;0,L45&gt;1),"检查输入",G45*L45)))</f>
        <v/>
      </c>
      <c r="S45" s="10">
        <f>IF(A45="","",IF(COUNT(M45:N45)&lt;2,"待补充",IF(OR(M45&lt;0,M45&gt;1,N45&lt;0),"检查输入",M45*N45)))</f>
        <v/>
      </c>
      <c r="T45" s="10">
        <f>IF(A45="","",IF(COUNT(F45:N45)&lt;9,"待补充",IF(OR(MIN(F45:N45)&lt;0,L45&gt;1,M45&gt;1),"检查输入",ROUND(F45-SUM(H45:K45)-R45-S45,4))))</f>
        <v/>
      </c>
      <c r="U45" s="10">
        <f>IF(A45="","",IF(COUNT(O45:P45)&lt;2,"待补充",IF(MIN(O45:P45)&lt;0,"检查输入",SUM(O45:P45))))</f>
        <v/>
      </c>
      <c r="V45" s="9">
        <f>IF(A45="","",IF(OR(T45="检查输入",U45="检查输入"),"检查输入",IF(OR(NOT(ISNUMBER(T45)),NOT(ISNUMBER(U45))),"待补充",IF(T45&lt;=0,"不可保本",IFERROR(ROUNDUP(U45/T45,0),"检查输入")))))</f>
        <v/>
      </c>
      <c r="W45" s="10">
        <f>IF(A45="","",IF(OR(NOT(ISNUMBER(T45)),NOT(ISNUMBER(U45)),NOT(ISNUMBER(Q45))),"待补充",IF(OR(Q45&lt;0,Q45&lt;&gt;INT(Q45)),"检查输入",ROUND(Q45*T45-U45,4))))</f>
        <v/>
      </c>
    </row>
    <row r="46" spans="18:23" ht="34" customHeight="1">
      <c r="R46" s="10">
        <f>IF(A46="","",IF(COUNT(G46,L46)&lt;2,"待补充",IF(OR(G46&lt;0,L46&lt;0,L46&gt;1),"检查输入",G46*L46)))</f>
        <v/>
      </c>
      <c r="S46" s="10">
        <f>IF(A46="","",IF(COUNT(M46:N46)&lt;2,"待补充",IF(OR(M46&lt;0,M46&gt;1,N46&lt;0),"检查输入",M46*N46)))</f>
        <v/>
      </c>
      <c r="T46" s="10">
        <f>IF(A46="","",IF(COUNT(F46:N46)&lt;9,"待补充",IF(OR(MIN(F46:N46)&lt;0,L46&gt;1,M46&gt;1),"检查输入",ROUND(F46-SUM(H46:K46)-R46-S46,4))))</f>
        <v/>
      </c>
      <c r="U46" s="10">
        <f>IF(A46="","",IF(COUNT(O46:P46)&lt;2,"待补充",IF(MIN(O46:P46)&lt;0,"检查输入",SUM(O46:P46))))</f>
        <v/>
      </c>
      <c r="V46" s="9">
        <f>IF(A46="","",IF(OR(T46="检查输入",U46="检查输入"),"检查输入",IF(OR(NOT(ISNUMBER(T46)),NOT(ISNUMBER(U46))),"待补充",IF(T46&lt;=0,"不可保本",IFERROR(ROUNDUP(U46/T46,0),"检查输入")))))</f>
        <v/>
      </c>
      <c r="W46" s="10">
        <f>IF(A46="","",IF(OR(NOT(ISNUMBER(T46)),NOT(ISNUMBER(U46)),NOT(ISNUMBER(Q46))),"待补充",IF(OR(Q46&lt;0,Q46&lt;&gt;INT(Q46)),"检查输入",ROUND(Q46*T46-U46,4))))</f>
        <v/>
      </c>
    </row>
    <row r="47" spans="18:23" ht="34" customHeight="1">
      <c r="R47" s="10">
        <f>IF(A47="","",IF(COUNT(G47,L47)&lt;2,"待补充",IF(OR(G47&lt;0,L47&lt;0,L47&gt;1),"检查输入",G47*L47)))</f>
        <v/>
      </c>
      <c r="S47" s="10">
        <f>IF(A47="","",IF(COUNT(M47:N47)&lt;2,"待补充",IF(OR(M47&lt;0,M47&gt;1,N47&lt;0),"检查输入",M47*N47)))</f>
        <v/>
      </c>
      <c r="T47" s="10">
        <f>IF(A47="","",IF(COUNT(F47:N47)&lt;9,"待补充",IF(OR(MIN(F47:N47)&lt;0,L47&gt;1,M47&gt;1),"检查输入",ROUND(F47-SUM(H47:K47)-R47-S47,4))))</f>
        <v/>
      </c>
      <c r="U47" s="10">
        <f>IF(A47="","",IF(COUNT(O47:P47)&lt;2,"待补充",IF(MIN(O47:P47)&lt;0,"检查输入",SUM(O47:P47))))</f>
        <v/>
      </c>
      <c r="V47" s="9">
        <f>IF(A47="","",IF(OR(T47="检查输入",U47="检查输入"),"检查输入",IF(OR(NOT(ISNUMBER(T47)),NOT(ISNUMBER(U47))),"待补充",IF(T47&lt;=0,"不可保本",IFERROR(ROUNDUP(U47/T47,0),"检查输入")))))</f>
        <v/>
      </c>
      <c r="W47" s="10">
        <f>IF(A47="","",IF(OR(NOT(ISNUMBER(T47)),NOT(ISNUMBER(U47)),NOT(ISNUMBER(Q47))),"待补充",IF(OR(Q47&lt;0,Q47&lt;&gt;INT(Q47)),"检查输入",ROUND(Q47*T47-U47,4))))</f>
        <v/>
      </c>
    </row>
    <row r="48" spans="18:23" ht="34" customHeight="1">
      <c r="R48" s="10">
        <f>IF(A48="","",IF(COUNT(G48,L48)&lt;2,"待补充",IF(OR(G48&lt;0,L48&lt;0,L48&gt;1),"检查输入",G48*L48)))</f>
        <v/>
      </c>
      <c r="S48" s="10">
        <f>IF(A48="","",IF(COUNT(M48:N48)&lt;2,"待补充",IF(OR(M48&lt;0,M48&gt;1,N48&lt;0),"检查输入",M48*N48)))</f>
        <v/>
      </c>
      <c r="T48" s="10">
        <f>IF(A48="","",IF(COUNT(F48:N48)&lt;9,"待补充",IF(OR(MIN(F48:N48)&lt;0,L48&gt;1,M48&gt;1),"检查输入",ROUND(F48-SUM(H48:K48)-R48-S48,4))))</f>
        <v/>
      </c>
      <c r="U48" s="10">
        <f>IF(A48="","",IF(COUNT(O48:P48)&lt;2,"待补充",IF(MIN(O48:P48)&lt;0,"检查输入",SUM(O48:P48))))</f>
        <v/>
      </c>
      <c r="V48" s="9">
        <f>IF(A48="","",IF(OR(T48="检查输入",U48="检查输入"),"检查输入",IF(OR(NOT(ISNUMBER(T48)),NOT(ISNUMBER(U48))),"待补充",IF(T48&lt;=0,"不可保本",IFERROR(ROUNDUP(U48/T48,0),"检查输入")))))</f>
        <v/>
      </c>
      <c r="W48" s="10">
        <f>IF(A48="","",IF(OR(NOT(ISNUMBER(T48)),NOT(ISNUMBER(U48)),NOT(ISNUMBER(Q48))),"待补充",IF(OR(Q48&lt;0,Q48&lt;&gt;INT(Q48)),"检查输入",ROUND(Q48*T48-U48,4))))</f>
        <v/>
      </c>
    </row>
    <row r="49" spans="18:23" ht="34" customHeight="1">
      <c r="R49" s="10">
        <f>IF(A49="","",IF(COUNT(G49,L49)&lt;2,"待补充",IF(OR(G49&lt;0,L49&lt;0,L49&gt;1),"检查输入",G49*L49)))</f>
        <v/>
      </c>
      <c r="S49" s="10">
        <f>IF(A49="","",IF(COUNT(M49:N49)&lt;2,"待补充",IF(OR(M49&lt;0,M49&gt;1,N49&lt;0),"检查输入",M49*N49)))</f>
        <v/>
      </c>
      <c r="T49" s="10">
        <f>IF(A49="","",IF(COUNT(F49:N49)&lt;9,"待补充",IF(OR(MIN(F49:N49)&lt;0,L49&gt;1,M49&gt;1),"检查输入",ROUND(F49-SUM(H49:K49)-R49-S49,4))))</f>
        <v/>
      </c>
      <c r="U49" s="10">
        <f>IF(A49="","",IF(COUNT(O49:P49)&lt;2,"待补充",IF(MIN(O49:P49)&lt;0,"检查输入",SUM(O49:P49))))</f>
        <v/>
      </c>
      <c r="V49" s="9">
        <f>IF(A49="","",IF(OR(T49="检查输入",U49="检查输入"),"检查输入",IF(OR(NOT(ISNUMBER(T49)),NOT(ISNUMBER(U49))),"待补充",IF(T49&lt;=0,"不可保本",IFERROR(ROUNDUP(U49/T49,0),"检查输入")))))</f>
        <v/>
      </c>
      <c r="W49" s="10">
        <f>IF(A49="","",IF(OR(NOT(ISNUMBER(T49)),NOT(ISNUMBER(U49)),NOT(ISNUMBER(Q49))),"待补充",IF(OR(Q49&lt;0,Q49&lt;&gt;INT(Q49)),"检查输入",ROUND(Q49*T49-U49,4))))</f>
        <v/>
      </c>
    </row>
    <row r="50" spans="18:23" ht="34" customHeight="1">
      <c r="R50" s="10">
        <f>IF(A50="","",IF(COUNT(G50,L50)&lt;2,"待补充",IF(OR(G50&lt;0,L50&lt;0,L50&gt;1),"检查输入",G50*L50)))</f>
        <v/>
      </c>
      <c r="S50" s="10">
        <f>IF(A50="","",IF(COUNT(M50:N50)&lt;2,"待补充",IF(OR(M50&lt;0,M50&gt;1,N50&lt;0),"检查输入",M50*N50)))</f>
        <v/>
      </c>
      <c r="T50" s="10">
        <f>IF(A50="","",IF(COUNT(F50:N50)&lt;9,"待补充",IF(OR(MIN(F50:N50)&lt;0,L50&gt;1,M50&gt;1),"检查输入",ROUND(F50-SUM(H50:K50)-R50-S50,4))))</f>
        <v/>
      </c>
      <c r="U50" s="10">
        <f>IF(A50="","",IF(COUNT(O50:P50)&lt;2,"待补充",IF(MIN(O50:P50)&lt;0,"检查输入",SUM(O50:P50))))</f>
        <v/>
      </c>
      <c r="V50" s="9">
        <f>IF(A50="","",IF(OR(T50="检查输入",U50="检查输入"),"检查输入",IF(OR(NOT(ISNUMBER(T50)),NOT(ISNUMBER(U50))),"待补充",IF(T50&lt;=0,"不可保本",IFERROR(ROUNDUP(U50/T50,0),"检查输入")))))</f>
        <v/>
      </c>
      <c r="W50" s="10">
        <f>IF(A50="","",IF(OR(NOT(ISNUMBER(T50)),NOT(ISNUMBER(U50)),NOT(ISNUMBER(Q50))),"待补充",IF(OR(Q50&lt;0,Q50&lt;&gt;INT(Q50)),"检查输入",ROUND(Q50*T50-U50,4))))</f>
        <v/>
      </c>
    </row>
    <row r="51" spans="18:23" ht="34" customHeight="1">
      <c r="R51" s="10">
        <f>IF(A51="","",IF(COUNT(G51,L51)&lt;2,"待补充",IF(OR(G51&lt;0,L51&lt;0,L51&gt;1),"检查输入",G51*L51)))</f>
        <v/>
      </c>
      <c r="S51" s="10">
        <f>IF(A51="","",IF(COUNT(M51:N51)&lt;2,"待补充",IF(OR(M51&lt;0,M51&gt;1,N51&lt;0),"检查输入",M51*N51)))</f>
        <v/>
      </c>
      <c r="T51" s="10">
        <f>IF(A51="","",IF(COUNT(F51:N51)&lt;9,"待补充",IF(OR(MIN(F51:N51)&lt;0,L51&gt;1,M51&gt;1),"检查输入",ROUND(F51-SUM(H51:K51)-R51-S51,4))))</f>
        <v/>
      </c>
      <c r="U51" s="10">
        <f>IF(A51="","",IF(COUNT(O51:P51)&lt;2,"待补充",IF(MIN(O51:P51)&lt;0,"检查输入",SUM(O51:P51))))</f>
        <v/>
      </c>
      <c r="V51" s="9">
        <f>IF(A51="","",IF(OR(T51="检查输入",U51="检查输入"),"检查输入",IF(OR(NOT(ISNUMBER(T51)),NOT(ISNUMBER(U51))),"待补充",IF(T51&lt;=0,"不可保本",IFERROR(ROUNDUP(U51/T51,0),"检查输入")))))</f>
        <v/>
      </c>
      <c r="W51" s="10">
        <f>IF(A51="","",IF(OR(NOT(ISNUMBER(T51)),NOT(ISNUMBER(U51)),NOT(ISNUMBER(Q51))),"待补充",IF(OR(Q51&lt;0,Q51&lt;&gt;INT(Q51)),"检查输入",ROUND(Q51*T51-U51,4))))</f>
        <v/>
      </c>
    </row>
    <row r="52" spans="18:23" ht="34" customHeight="1">
      <c r="R52" s="10">
        <f>IF(A52="","",IF(COUNT(G52,L52)&lt;2,"待补充",IF(OR(G52&lt;0,L52&lt;0,L52&gt;1),"检查输入",G52*L52)))</f>
        <v/>
      </c>
      <c r="S52" s="10">
        <f>IF(A52="","",IF(COUNT(M52:N52)&lt;2,"待补充",IF(OR(M52&lt;0,M52&gt;1,N52&lt;0),"检查输入",M52*N52)))</f>
        <v/>
      </c>
      <c r="T52" s="10">
        <f>IF(A52="","",IF(COUNT(F52:N52)&lt;9,"待补充",IF(OR(MIN(F52:N52)&lt;0,L52&gt;1,M52&gt;1),"检查输入",ROUND(F52-SUM(H52:K52)-R52-S52,4))))</f>
        <v/>
      </c>
      <c r="U52" s="10">
        <f>IF(A52="","",IF(COUNT(O52:P52)&lt;2,"待补充",IF(MIN(O52:P52)&lt;0,"检查输入",SUM(O52:P52))))</f>
        <v/>
      </c>
      <c r="V52" s="9">
        <f>IF(A52="","",IF(OR(T52="检查输入",U52="检查输入"),"检查输入",IF(OR(NOT(ISNUMBER(T52)),NOT(ISNUMBER(U52))),"待补充",IF(T52&lt;=0,"不可保本",IFERROR(ROUNDUP(U52/T52,0),"检查输入")))))</f>
        <v/>
      </c>
      <c r="W52" s="10">
        <f>IF(A52="","",IF(OR(NOT(ISNUMBER(T52)),NOT(ISNUMBER(U52)),NOT(ISNUMBER(Q52))),"待补充",IF(OR(Q52&lt;0,Q52&lt;&gt;INT(Q52)),"检查输入",ROUND(Q52*T52-U52,4))))</f>
        <v/>
      </c>
    </row>
    <row r="53" spans="18:23" ht="34" customHeight="1">
      <c r="R53" s="10">
        <f>IF(A53="","",IF(COUNT(G53,L53)&lt;2,"待补充",IF(OR(G53&lt;0,L53&lt;0,L53&gt;1),"检查输入",G53*L53)))</f>
        <v/>
      </c>
      <c r="S53" s="10">
        <f>IF(A53="","",IF(COUNT(M53:N53)&lt;2,"待补充",IF(OR(M53&lt;0,M53&gt;1,N53&lt;0),"检查输入",M53*N53)))</f>
        <v/>
      </c>
      <c r="T53" s="10">
        <f>IF(A53="","",IF(COUNT(F53:N53)&lt;9,"待补充",IF(OR(MIN(F53:N53)&lt;0,L53&gt;1,M53&gt;1),"检查输入",ROUND(F53-SUM(H53:K53)-R53-S53,4))))</f>
        <v/>
      </c>
      <c r="U53" s="10">
        <f>IF(A53="","",IF(COUNT(O53:P53)&lt;2,"待补充",IF(MIN(O53:P53)&lt;0,"检查输入",SUM(O53:P53))))</f>
        <v/>
      </c>
      <c r="V53" s="9">
        <f>IF(A53="","",IF(OR(T53="检查输入",U53="检查输入"),"检查输入",IF(OR(NOT(ISNUMBER(T53)),NOT(ISNUMBER(U53))),"待补充",IF(T53&lt;=0,"不可保本",IFERROR(ROUNDUP(U53/T53,0),"检查输入")))))</f>
        <v/>
      </c>
      <c r="W53" s="10">
        <f>IF(A53="","",IF(OR(NOT(ISNUMBER(T53)),NOT(ISNUMBER(U53)),NOT(ISNUMBER(Q53))),"待补充",IF(OR(Q53&lt;0,Q53&lt;&gt;INT(Q53)),"检查输入",ROUND(Q53*T53-U53,4))))</f>
        <v/>
      </c>
    </row>
    <row r="54" spans="18:23" ht="34" customHeight="1">
      <c r="R54" s="10">
        <f>IF(A54="","",IF(COUNT(G54,L54)&lt;2,"待补充",IF(OR(G54&lt;0,L54&lt;0,L54&gt;1),"检查输入",G54*L54)))</f>
        <v/>
      </c>
      <c r="S54" s="10">
        <f>IF(A54="","",IF(COUNT(M54:N54)&lt;2,"待补充",IF(OR(M54&lt;0,M54&gt;1,N54&lt;0),"检查输入",M54*N54)))</f>
        <v/>
      </c>
      <c r="T54" s="10">
        <f>IF(A54="","",IF(COUNT(F54:N54)&lt;9,"待补充",IF(OR(MIN(F54:N54)&lt;0,L54&gt;1,M54&gt;1),"检查输入",ROUND(F54-SUM(H54:K54)-R54-S54,4))))</f>
        <v/>
      </c>
      <c r="U54" s="10">
        <f>IF(A54="","",IF(COUNT(O54:P54)&lt;2,"待补充",IF(MIN(O54:P54)&lt;0,"检查输入",SUM(O54:P54))))</f>
        <v/>
      </c>
      <c r="V54" s="9">
        <f>IF(A54="","",IF(OR(T54="检查输入",U54="检查输入"),"检查输入",IF(OR(NOT(ISNUMBER(T54)),NOT(ISNUMBER(U54))),"待补充",IF(T54&lt;=0,"不可保本",IFERROR(ROUNDUP(U54/T54,0),"检查输入")))))</f>
        <v/>
      </c>
      <c r="W54" s="10">
        <f>IF(A54="","",IF(OR(NOT(ISNUMBER(T54)),NOT(ISNUMBER(U54)),NOT(ISNUMBER(Q54))),"待补充",IF(OR(Q54&lt;0,Q54&lt;&gt;INT(Q54)),"检查输入",ROUND(Q54*T54-U54,4))))</f>
        <v/>
      </c>
    </row>
    <row r="55" spans="18:23" ht="34" customHeight="1">
      <c r="R55" s="10">
        <f>IF(A55="","",IF(COUNT(G55,L55)&lt;2,"待补充",IF(OR(G55&lt;0,L55&lt;0,L55&gt;1),"检查输入",G55*L55)))</f>
        <v/>
      </c>
      <c r="S55" s="10">
        <f>IF(A55="","",IF(COUNT(M55:N55)&lt;2,"待补充",IF(OR(M55&lt;0,M55&gt;1,N55&lt;0),"检查输入",M55*N55)))</f>
        <v/>
      </c>
      <c r="T55" s="10">
        <f>IF(A55="","",IF(COUNT(F55:N55)&lt;9,"待补充",IF(OR(MIN(F55:N55)&lt;0,L55&gt;1,M55&gt;1),"检查输入",ROUND(F55-SUM(H55:K55)-R55-S55,4))))</f>
        <v/>
      </c>
      <c r="U55" s="10">
        <f>IF(A55="","",IF(COUNT(O55:P55)&lt;2,"待补充",IF(MIN(O55:P55)&lt;0,"检查输入",SUM(O55:P55))))</f>
        <v/>
      </c>
      <c r="V55" s="9">
        <f>IF(A55="","",IF(OR(T55="检查输入",U55="检查输入"),"检查输入",IF(OR(NOT(ISNUMBER(T55)),NOT(ISNUMBER(U55))),"待补充",IF(T55&lt;=0,"不可保本",IFERROR(ROUNDUP(U55/T55,0),"检查输入")))))</f>
        <v/>
      </c>
      <c r="W55" s="10">
        <f>IF(A55="","",IF(OR(NOT(ISNUMBER(T55)),NOT(ISNUMBER(U55)),NOT(ISNUMBER(Q55))),"待补充",IF(OR(Q55&lt;0,Q55&lt;&gt;INT(Q55)),"检查输入",ROUND(Q55*T55-U55,4))))</f>
        <v/>
      </c>
    </row>
    <row r="56" spans="18:23" ht="34" customHeight="1">
      <c r="R56" s="10">
        <f>IF(A56="","",IF(COUNT(G56,L56)&lt;2,"待补充",IF(OR(G56&lt;0,L56&lt;0,L56&gt;1),"检查输入",G56*L56)))</f>
        <v/>
      </c>
      <c r="S56" s="10">
        <f>IF(A56="","",IF(COUNT(M56:N56)&lt;2,"待补充",IF(OR(M56&lt;0,M56&gt;1,N56&lt;0),"检查输入",M56*N56)))</f>
        <v/>
      </c>
      <c r="T56" s="10">
        <f>IF(A56="","",IF(COUNT(F56:N56)&lt;9,"待补充",IF(OR(MIN(F56:N56)&lt;0,L56&gt;1,M56&gt;1),"检查输入",ROUND(F56-SUM(H56:K56)-R56-S56,4))))</f>
        <v/>
      </c>
      <c r="U56" s="10">
        <f>IF(A56="","",IF(COUNT(O56:P56)&lt;2,"待补充",IF(MIN(O56:P56)&lt;0,"检查输入",SUM(O56:P56))))</f>
        <v/>
      </c>
      <c r="V56" s="9">
        <f>IF(A56="","",IF(OR(T56="检查输入",U56="检查输入"),"检查输入",IF(OR(NOT(ISNUMBER(T56)),NOT(ISNUMBER(U56))),"待补充",IF(T56&lt;=0,"不可保本",IFERROR(ROUNDUP(U56/T56,0),"检查输入")))))</f>
        <v/>
      </c>
      <c r="W56" s="10">
        <f>IF(A56="","",IF(OR(NOT(ISNUMBER(T56)),NOT(ISNUMBER(U56)),NOT(ISNUMBER(Q56))),"待补充",IF(OR(Q56&lt;0,Q56&lt;&gt;INT(Q56)),"检查输入",ROUND(Q56*T56-U56,4))))</f>
        <v/>
      </c>
    </row>
    <row r="57" spans="18:23" ht="34" customHeight="1">
      <c r="R57" s="10">
        <f>IF(A57="","",IF(COUNT(G57,L57)&lt;2,"待补充",IF(OR(G57&lt;0,L57&lt;0,L57&gt;1),"检查输入",G57*L57)))</f>
        <v/>
      </c>
      <c r="S57" s="10">
        <f>IF(A57="","",IF(COUNT(M57:N57)&lt;2,"待补充",IF(OR(M57&lt;0,M57&gt;1,N57&lt;0),"检查输入",M57*N57)))</f>
        <v/>
      </c>
      <c r="T57" s="10">
        <f>IF(A57="","",IF(COUNT(F57:N57)&lt;9,"待补充",IF(OR(MIN(F57:N57)&lt;0,L57&gt;1,M57&gt;1),"检查输入",ROUND(F57-SUM(H57:K57)-R57-S57,4))))</f>
        <v/>
      </c>
      <c r="U57" s="10">
        <f>IF(A57="","",IF(COUNT(O57:P57)&lt;2,"待补充",IF(MIN(O57:P57)&lt;0,"检查输入",SUM(O57:P57))))</f>
        <v/>
      </c>
      <c r="V57" s="9">
        <f>IF(A57="","",IF(OR(T57="检查输入",U57="检查输入"),"检查输入",IF(OR(NOT(ISNUMBER(T57)),NOT(ISNUMBER(U57))),"待补充",IF(T57&lt;=0,"不可保本",IFERROR(ROUNDUP(U57/T57,0),"检查输入")))))</f>
        <v/>
      </c>
      <c r="W57" s="10">
        <f>IF(A57="","",IF(OR(NOT(ISNUMBER(T57)),NOT(ISNUMBER(U57)),NOT(ISNUMBER(Q57))),"待补充",IF(OR(Q57&lt;0,Q57&lt;&gt;INT(Q57)),"检查输入",ROUND(Q57*T57-U57,4))))</f>
        <v/>
      </c>
    </row>
    <row r="58" spans="18:23" ht="34" customHeight="1">
      <c r="R58" s="10">
        <f>IF(A58="","",IF(COUNT(G58,L58)&lt;2,"待补充",IF(OR(G58&lt;0,L58&lt;0,L58&gt;1),"检查输入",G58*L58)))</f>
        <v/>
      </c>
      <c r="S58" s="10">
        <f>IF(A58="","",IF(COUNT(M58:N58)&lt;2,"待补充",IF(OR(M58&lt;0,M58&gt;1,N58&lt;0),"检查输入",M58*N58)))</f>
        <v/>
      </c>
      <c r="T58" s="10">
        <f>IF(A58="","",IF(COUNT(F58:N58)&lt;9,"待补充",IF(OR(MIN(F58:N58)&lt;0,L58&gt;1,M58&gt;1),"检查输入",ROUND(F58-SUM(H58:K58)-R58-S58,4))))</f>
        <v/>
      </c>
      <c r="U58" s="10">
        <f>IF(A58="","",IF(COUNT(O58:P58)&lt;2,"待补充",IF(MIN(O58:P58)&lt;0,"检查输入",SUM(O58:P58))))</f>
        <v/>
      </c>
      <c r="V58" s="9">
        <f>IF(A58="","",IF(OR(T58="检查输入",U58="检查输入"),"检查输入",IF(OR(NOT(ISNUMBER(T58)),NOT(ISNUMBER(U58))),"待补充",IF(T58&lt;=0,"不可保本",IFERROR(ROUNDUP(U58/T58,0),"检查输入")))))</f>
        <v/>
      </c>
      <c r="W58" s="10">
        <f>IF(A58="","",IF(OR(NOT(ISNUMBER(T58)),NOT(ISNUMBER(U58)),NOT(ISNUMBER(Q58))),"待补充",IF(OR(Q58&lt;0,Q58&lt;&gt;INT(Q58)),"检查输入",ROUND(Q58*T58-U58,4))))</f>
        <v/>
      </c>
    </row>
    <row r="59" spans="18:23" ht="34" customHeight="1">
      <c r="R59" s="10">
        <f>IF(A59="","",IF(COUNT(G59,L59)&lt;2,"待补充",IF(OR(G59&lt;0,L59&lt;0,L59&gt;1),"检查输入",G59*L59)))</f>
        <v/>
      </c>
      <c r="S59" s="10">
        <f>IF(A59="","",IF(COUNT(M59:N59)&lt;2,"待补充",IF(OR(M59&lt;0,M59&gt;1,N59&lt;0),"检查输入",M59*N59)))</f>
        <v/>
      </c>
      <c r="T59" s="10">
        <f>IF(A59="","",IF(COUNT(F59:N59)&lt;9,"待补充",IF(OR(MIN(F59:N59)&lt;0,L59&gt;1,M59&gt;1),"检查输入",ROUND(F59-SUM(H59:K59)-R59-S59,4))))</f>
        <v/>
      </c>
      <c r="U59" s="10">
        <f>IF(A59="","",IF(COUNT(O59:P59)&lt;2,"待补充",IF(MIN(O59:P59)&lt;0,"检查输入",SUM(O59:P59))))</f>
        <v/>
      </c>
      <c r="V59" s="9">
        <f>IF(A59="","",IF(OR(T59="检查输入",U59="检查输入"),"检查输入",IF(OR(NOT(ISNUMBER(T59)),NOT(ISNUMBER(U59))),"待补充",IF(T59&lt;=0,"不可保本",IFERROR(ROUNDUP(U59/T59,0),"检查输入")))))</f>
        <v/>
      </c>
      <c r="W59" s="10">
        <f>IF(A59="","",IF(OR(NOT(ISNUMBER(T59)),NOT(ISNUMBER(U59)),NOT(ISNUMBER(Q59))),"待补充",IF(OR(Q59&lt;0,Q59&lt;&gt;INT(Q59)),"检查输入",ROUND(Q59*T59-U59,4))))</f>
        <v/>
      </c>
    </row>
    <row r="60" spans="18:23" ht="34" customHeight="1">
      <c r="R60" s="10">
        <f>IF(A60="","",IF(COUNT(G60,L60)&lt;2,"待补充",IF(OR(G60&lt;0,L60&lt;0,L60&gt;1),"检查输入",G60*L60)))</f>
        <v/>
      </c>
      <c r="S60" s="10">
        <f>IF(A60="","",IF(COUNT(M60:N60)&lt;2,"待补充",IF(OR(M60&lt;0,M60&gt;1,N60&lt;0),"检查输入",M60*N60)))</f>
        <v/>
      </c>
      <c r="T60" s="10">
        <f>IF(A60="","",IF(COUNT(F60:N60)&lt;9,"待补充",IF(OR(MIN(F60:N60)&lt;0,L60&gt;1,M60&gt;1),"检查输入",ROUND(F60-SUM(H60:K60)-R60-S60,4))))</f>
        <v/>
      </c>
      <c r="U60" s="10">
        <f>IF(A60="","",IF(COUNT(O60:P60)&lt;2,"待补充",IF(MIN(O60:P60)&lt;0,"检查输入",SUM(O60:P60))))</f>
        <v/>
      </c>
      <c r="V60" s="9">
        <f>IF(A60="","",IF(OR(T60="检查输入",U60="检查输入"),"检查输入",IF(OR(NOT(ISNUMBER(T60)),NOT(ISNUMBER(U60))),"待补充",IF(T60&lt;=0,"不可保本",IFERROR(ROUNDUP(U60/T60,0),"检查输入")))))</f>
        <v/>
      </c>
      <c r="W60" s="10">
        <f>IF(A60="","",IF(OR(NOT(ISNUMBER(T60)),NOT(ISNUMBER(U60)),NOT(ISNUMBER(Q60))),"待补充",IF(OR(Q60&lt;0,Q60&lt;&gt;INT(Q60)),"检查输入",ROUND(Q60*T60-U60,4))))</f>
        <v/>
      </c>
    </row>
    <row r="61" spans="18:23" ht="34" customHeight="1">
      <c r="R61" s="10">
        <f>IF(A61="","",IF(COUNT(G61,L61)&lt;2,"待补充",IF(OR(G61&lt;0,L61&lt;0,L61&gt;1),"检查输入",G61*L61)))</f>
        <v/>
      </c>
      <c r="S61" s="10">
        <f>IF(A61="","",IF(COUNT(M61:N61)&lt;2,"待补充",IF(OR(M61&lt;0,M61&gt;1,N61&lt;0),"检查输入",M61*N61)))</f>
        <v/>
      </c>
      <c r="T61" s="10">
        <f>IF(A61="","",IF(COUNT(F61:N61)&lt;9,"待补充",IF(OR(MIN(F61:N61)&lt;0,L61&gt;1,M61&gt;1),"检查输入",ROUND(F61-SUM(H61:K61)-R61-S61,4))))</f>
        <v/>
      </c>
      <c r="U61" s="10">
        <f>IF(A61="","",IF(COUNT(O61:P61)&lt;2,"待补充",IF(MIN(O61:P61)&lt;0,"检查输入",SUM(O61:P61))))</f>
        <v/>
      </c>
      <c r="V61" s="9">
        <f>IF(A61="","",IF(OR(T61="检查输入",U61="检查输入"),"检查输入",IF(OR(NOT(ISNUMBER(T61)),NOT(ISNUMBER(U61))),"待补充",IF(T61&lt;=0,"不可保本",IFERROR(ROUNDUP(U61/T61,0),"检查输入")))))</f>
        <v/>
      </c>
      <c r="W61" s="10">
        <f>IF(A61="","",IF(OR(NOT(ISNUMBER(T61)),NOT(ISNUMBER(U61)),NOT(ISNUMBER(Q61))),"待补充",IF(OR(Q61&lt;0,Q61&lt;&gt;INT(Q61)),"检查输入",ROUND(Q61*T61-U61,4))))</f>
        <v/>
      </c>
    </row>
    <row r="62" spans="18:23" ht="34" customHeight="1">
      <c r="R62" s="10">
        <f>IF(A62="","",IF(COUNT(G62,L62)&lt;2,"待补充",IF(OR(G62&lt;0,L62&lt;0,L62&gt;1),"检查输入",G62*L62)))</f>
        <v/>
      </c>
      <c r="S62" s="10">
        <f>IF(A62="","",IF(COUNT(M62:N62)&lt;2,"待补充",IF(OR(M62&lt;0,M62&gt;1,N62&lt;0),"检查输入",M62*N62)))</f>
        <v/>
      </c>
      <c r="T62" s="10">
        <f>IF(A62="","",IF(COUNT(F62:N62)&lt;9,"待补充",IF(OR(MIN(F62:N62)&lt;0,L62&gt;1,M62&gt;1),"检查输入",ROUND(F62-SUM(H62:K62)-R62-S62,4))))</f>
        <v/>
      </c>
      <c r="U62" s="10">
        <f>IF(A62="","",IF(COUNT(O62:P62)&lt;2,"待补充",IF(MIN(O62:P62)&lt;0,"检查输入",SUM(O62:P62))))</f>
        <v/>
      </c>
      <c r="V62" s="9">
        <f>IF(A62="","",IF(OR(T62="检查输入",U62="检查输入"),"检查输入",IF(OR(NOT(ISNUMBER(T62)),NOT(ISNUMBER(U62))),"待补充",IF(T62&lt;=0,"不可保本",IFERROR(ROUNDUP(U62/T62,0),"检查输入")))))</f>
        <v/>
      </c>
      <c r="W62" s="10">
        <f>IF(A62="","",IF(OR(NOT(ISNUMBER(T62)),NOT(ISNUMBER(U62)),NOT(ISNUMBER(Q62))),"待补充",IF(OR(Q62&lt;0,Q62&lt;&gt;INT(Q62)),"检查输入",ROUND(Q62*T62-U62,4))))</f>
        <v/>
      </c>
    </row>
    <row r="63" spans="18:23" ht="34" customHeight="1">
      <c r="R63" s="10">
        <f>IF(A63="","",IF(COUNT(G63,L63)&lt;2,"待补充",IF(OR(G63&lt;0,L63&lt;0,L63&gt;1),"检查输入",G63*L63)))</f>
        <v/>
      </c>
      <c r="S63" s="10">
        <f>IF(A63="","",IF(COUNT(M63:N63)&lt;2,"待补充",IF(OR(M63&lt;0,M63&gt;1,N63&lt;0),"检查输入",M63*N63)))</f>
        <v/>
      </c>
      <c r="T63" s="10">
        <f>IF(A63="","",IF(COUNT(F63:N63)&lt;9,"待补充",IF(OR(MIN(F63:N63)&lt;0,L63&gt;1,M63&gt;1),"检查输入",ROUND(F63-SUM(H63:K63)-R63-S63,4))))</f>
        <v/>
      </c>
      <c r="U63" s="10">
        <f>IF(A63="","",IF(COUNT(O63:P63)&lt;2,"待补充",IF(MIN(O63:P63)&lt;0,"检查输入",SUM(O63:P63))))</f>
        <v/>
      </c>
      <c r="V63" s="9">
        <f>IF(A63="","",IF(OR(T63="检查输入",U63="检查输入"),"检查输入",IF(OR(NOT(ISNUMBER(T63)),NOT(ISNUMBER(U63))),"待补充",IF(T63&lt;=0,"不可保本",IFERROR(ROUNDUP(U63/T63,0),"检查输入")))))</f>
        <v/>
      </c>
      <c r="W63" s="10">
        <f>IF(A63="","",IF(OR(NOT(ISNUMBER(T63)),NOT(ISNUMBER(U63)),NOT(ISNUMBER(Q63))),"待补充",IF(OR(Q63&lt;0,Q63&lt;&gt;INT(Q63)),"检查输入",ROUND(Q63*T63-U63,4))))</f>
        <v/>
      </c>
    </row>
    <row r="64" spans="18:23" ht="34" customHeight="1">
      <c r="R64" s="10">
        <f>IF(A64="","",IF(COUNT(G64,L64)&lt;2,"待补充",IF(OR(G64&lt;0,L64&lt;0,L64&gt;1),"检查输入",G64*L64)))</f>
        <v/>
      </c>
      <c r="S64" s="10">
        <f>IF(A64="","",IF(COUNT(M64:N64)&lt;2,"待补充",IF(OR(M64&lt;0,M64&gt;1,N64&lt;0),"检查输入",M64*N64)))</f>
        <v/>
      </c>
      <c r="T64" s="10">
        <f>IF(A64="","",IF(COUNT(F64:N64)&lt;9,"待补充",IF(OR(MIN(F64:N64)&lt;0,L64&gt;1,M64&gt;1),"检查输入",ROUND(F64-SUM(H64:K64)-R64-S64,4))))</f>
        <v/>
      </c>
      <c r="U64" s="10">
        <f>IF(A64="","",IF(COUNT(O64:P64)&lt;2,"待补充",IF(MIN(O64:P64)&lt;0,"检查输入",SUM(O64:P64))))</f>
        <v/>
      </c>
      <c r="V64" s="9">
        <f>IF(A64="","",IF(OR(T64="检查输入",U64="检查输入"),"检查输入",IF(OR(NOT(ISNUMBER(T64)),NOT(ISNUMBER(U64))),"待补充",IF(T64&lt;=0,"不可保本",IFERROR(ROUNDUP(U64/T64,0),"检查输入")))))</f>
        <v/>
      </c>
      <c r="W64" s="10">
        <f>IF(A64="","",IF(OR(NOT(ISNUMBER(T64)),NOT(ISNUMBER(U64)),NOT(ISNUMBER(Q64))),"待补充",IF(OR(Q64&lt;0,Q64&lt;&gt;INT(Q64)),"检查输入",ROUND(Q64*T64-U64,4))))</f>
        <v/>
      </c>
    </row>
    <row r="65" spans="18:23" ht="34" customHeight="1">
      <c r="R65" s="10">
        <f>IF(A65="","",IF(COUNT(G65,L65)&lt;2,"待补充",IF(OR(G65&lt;0,L65&lt;0,L65&gt;1),"检查输入",G65*L65)))</f>
        <v/>
      </c>
      <c r="S65" s="10">
        <f>IF(A65="","",IF(COUNT(M65:N65)&lt;2,"待补充",IF(OR(M65&lt;0,M65&gt;1,N65&lt;0),"检查输入",M65*N65)))</f>
        <v/>
      </c>
      <c r="T65" s="10">
        <f>IF(A65="","",IF(COUNT(F65:N65)&lt;9,"待补充",IF(OR(MIN(F65:N65)&lt;0,L65&gt;1,M65&gt;1),"检查输入",ROUND(F65-SUM(H65:K65)-R65-S65,4))))</f>
        <v/>
      </c>
      <c r="U65" s="10">
        <f>IF(A65="","",IF(COUNT(O65:P65)&lt;2,"待补充",IF(MIN(O65:P65)&lt;0,"检查输入",SUM(O65:P65))))</f>
        <v/>
      </c>
      <c r="V65" s="9">
        <f>IF(A65="","",IF(OR(T65="检查输入",U65="检查输入"),"检查输入",IF(OR(NOT(ISNUMBER(T65)),NOT(ISNUMBER(U65))),"待补充",IF(T65&lt;=0,"不可保本",IFERROR(ROUNDUP(U65/T65,0),"检查输入")))))</f>
        <v/>
      </c>
      <c r="W65" s="10">
        <f>IF(A65="","",IF(OR(NOT(ISNUMBER(T65)),NOT(ISNUMBER(U65)),NOT(ISNUMBER(Q65))),"待补充",IF(OR(Q65&lt;0,Q65&lt;&gt;INT(Q65)),"检查输入",ROUND(Q65*T65-U65,4))))</f>
        <v/>
      </c>
    </row>
    <row r="66" spans="18:23" ht="34" customHeight="1">
      <c r="R66" s="10">
        <f>IF(A66="","",IF(COUNT(G66,L66)&lt;2,"待补充",IF(OR(G66&lt;0,L66&lt;0,L66&gt;1),"检查输入",G66*L66)))</f>
        <v/>
      </c>
      <c r="S66" s="10">
        <f>IF(A66="","",IF(COUNT(M66:N66)&lt;2,"待补充",IF(OR(M66&lt;0,M66&gt;1,N66&lt;0),"检查输入",M66*N66)))</f>
        <v/>
      </c>
      <c r="T66" s="10">
        <f>IF(A66="","",IF(COUNT(F66:N66)&lt;9,"待补充",IF(OR(MIN(F66:N66)&lt;0,L66&gt;1,M66&gt;1),"检查输入",ROUND(F66-SUM(H66:K66)-R66-S66,4))))</f>
        <v/>
      </c>
      <c r="U66" s="10">
        <f>IF(A66="","",IF(COUNT(O66:P66)&lt;2,"待补充",IF(MIN(O66:P66)&lt;0,"检查输入",SUM(O66:P66))))</f>
        <v/>
      </c>
      <c r="V66" s="9">
        <f>IF(A66="","",IF(OR(T66="检查输入",U66="检查输入"),"检查输入",IF(OR(NOT(ISNUMBER(T66)),NOT(ISNUMBER(U66))),"待补充",IF(T66&lt;=0,"不可保本",IFERROR(ROUNDUP(U66/T66,0),"检查输入")))))</f>
        <v/>
      </c>
      <c r="W66" s="10">
        <f>IF(A66="","",IF(OR(NOT(ISNUMBER(T66)),NOT(ISNUMBER(U66)),NOT(ISNUMBER(Q66))),"待补充",IF(OR(Q66&lt;0,Q66&lt;&gt;INT(Q66)),"检查输入",ROUND(Q66*T66-U66,4))))</f>
        <v/>
      </c>
    </row>
    <row r="67" spans="18:23" ht="34" customHeight="1">
      <c r="R67" s="10">
        <f>IF(A67="","",IF(COUNT(G67,L67)&lt;2,"待补充",IF(OR(G67&lt;0,L67&lt;0,L67&gt;1),"检查输入",G67*L67)))</f>
        <v/>
      </c>
      <c r="S67" s="10">
        <f>IF(A67="","",IF(COUNT(M67:N67)&lt;2,"待补充",IF(OR(M67&lt;0,M67&gt;1,N67&lt;0),"检查输入",M67*N67)))</f>
        <v/>
      </c>
      <c r="T67" s="10">
        <f>IF(A67="","",IF(COUNT(F67:N67)&lt;9,"待补充",IF(OR(MIN(F67:N67)&lt;0,L67&gt;1,M67&gt;1),"检查输入",ROUND(F67-SUM(H67:K67)-R67-S67,4))))</f>
        <v/>
      </c>
      <c r="U67" s="10">
        <f>IF(A67="","",IF(COUNT(O67:P67)&lt;2,"待补充",IF(MIN(O67:P67)&lt;0,"检查输入",SUM(O67:P67))))</f>
        <v/>
      </c>
      <c r="V67" s="9">
        <f>IF(A67="","",IF(OR(T67="检查输入",U67="检查输入"),"检查输入",IF(OR(NOT(ISNUMBER(T67)),NOT(ISNUMBER(U67))),"待补充",IF(T67&lt;=0,"不可保本",IFERROR(ROUNDUP(U67/T67,0),"检查输入")))))</f>
        <v/>
      </c>
      <c r="W67" s="10">
        <f>IF(A67="","",IF(OR(NOT(ISNUMBER(T67)),NOT(ISNUMBER(U67)),NOT(ISNUMBER(Q67))),"待补充",IF(OR(Q67&lt;0,Q67&lt;&gt;INT(Q67)),"检查输入",ROUND(Q67*T67-U67,4))))</f>
        <v/>
      </c>
    </row>
    <row r="68" spans="18:23" ht="34" customHeight="1">
      <c r="R68" s="10">
        <f>IF(A68="","",IF(COUNT(G68,L68)&lt;2,"待补充",IF(OR(G68&lt;0,L68&lt;0,L68&gt;1),"检查输入",G68*L68)))</f>
        <v/>
      </c>
      <c r="S68" s="10">
        <f>IF(A68="","",IF(COUNT(M68:N68)&lt;2,"待补充",IF(OR(M68&lt;0,M68&gt;1,N68&lt;0),"检查输入",M68*N68)))</f>
        <v/>
      </c>
      <c r="T68" s="10">
        <f>IF(A68="","",IF(COUNT(F68:N68)&lt;9,"待补充",IF(OR(MIN(F68:N68)&lt;0,L68&gt;1,M68&gt;1),"检查输入",ROUND(F68-SUM(H68:K68)-R68-S68,4))))</f>
        <v/>
      </c>
      <c r="U68" s="10">
        <f>IF(A68="","",IF(COUNT(O68:P68)&lt;2,"待补充",IF(MIN(O68:P68)&lt;0,"检查输入",SUM(O68:P68))))</f>
        <v/>
      </c>
      <c r="V68" s="9">
        <f>IF(A68="","",IF(OR(T68="检查输入",U68="检查输入"),"检查输入",IF(OR(NOT(ISNUMBER(T68)),NOT(ISNUMBER(U68))),"待补充",IF(T68&lt;=0,"不可保本",IFERROR(ROUNDUP(U68/T68,0),"检查输入")))))</f>
        <v/>
      </c>
      <c r="W68" s="10">
        <f>IF(A68="","",IF(OR(NOT(ISNUMBER(T68)),NOT(ISNUMBER(U68)),NOT(ISNUMBER(Q68))),"待补充",IF(OR(Q68&lt;0,Q68&lt;&gt;INT(Q68)),"检查输入",ROUND(Q68*T68-U68,4))))</f>
        <v/>
      </c>
    </row>
    <row r="69" spans="18:23" ht="34" customHeight="1">
      <c r="R69" s="10">
        <f>IF(A69="","",IF(COUNT(G69,L69)&lt;2,"待补充",IF(OR(G69&lt;0,L69&lt;0,L69&gt;1),"检查输入",G69*L69)))</f>
        <v/>
      </c>
      <c r="S69" s="10">
        <f>IF(A69="","",IF(COUNT(M69:N69)&lt;2,"待补充",IF(OR(M69&lt;0,M69&gt;1,N69&lt;0),"检查输入",M69*N69)))</f>
        <v/>
      </c>
      <c r="T69" s="10">
        <f>IF(A69="","",IF(COUNT(F69:N69)&lt;9,"待补充",IF(OR(MIN(F69:N69)&lt;0,L69&gt;1,M69&gt;1),"检查输入",ROUND(F69-SUM(H69:K69)-R69-S69,4))))</f>
        <v/>
      </c>
      <c r="U69" s="10">
        <f>IF(A69="","",IF(COUNT(O69:P69)&lt;2,"待补充",IF(MIN(O69:P69)&lt;0,"检查输入",SUM(O69:P69))))</f>
        <v/>
      </c>
      <c r="V69" s="9">
        <f>IF(A69="","",IF(OR(T69="检查输入",U69="检查输入"),"检查输入",IF(OR(NOT(ISNUMBER(T69)),NOT(ISNUMBER(U69))),"待补充",IF(T69&lt;=0,"不可保本",IFERROR(ROUNDUP(U69/T69,0),"检查输入")))))</f>
        <v/>
      </c>
      <c r="W69" s="10">
        <f>IF(A69="","",IF(OR(NOT(ISNUMBER(T69)),NOT(ISNUMBER(U69)),NOT(ISNUMBER(Q69))),"待补充",IF(OR(Q69&lt;0,Q69&lt;&gt;INT(Q69)),"检查输入",ROUND(Q69*T69-U69,4))))</f>
        <v/>
      </c>
    </row>
    <row r="70" spans="18:23" ht="34" customHeight="1">
      <c r="R70" s="10">
        <f>IF(A70="","",IF(COUNT(G70,L70)&lt;2,"待补充",IF(OR(G70&lt;0,L70&lt;0,L70&gt;1),"检查输入",G70*L70)))</f>
        <v/>
      </c>
      <c r="S70" s="10">
        <f>IF(A70="","",IF(COUNT(M70:N70)&lt;2,"待补充",IF(OR(M70&lt;0,M70&gt;1,N70&lt;0),"检查输入",M70*N70)))</f>
        <v/>
      </c>
      <c r="T70" s="10">
        <f>IF(A70="","",IF(COUNT(F70:N70)&lt;9,"待补充",IF(OR(MIN(F70:N70)&lt;0,L70&gt;1,M70&gt;1),"检查输入",ROUND(F70-SUM(H70:K70)-R70-S70,4))))</f>
        <v/>
      </c>
      <c r="U70" s="10">
        <f>IF(A70="","",IF(COUNT(O70:P70)&lt;2,"待补充",IF(MIN(O70:P70)&lt;0,"检查输入",SUM(O70:P70))))</f>
        <v/>
      </c>
      <c r="V70" s="9">
        <f>IF(A70="","",IF(OR(T70="检查输入",U70="检查输入"),"检查输入",IF(OR(NOT(ISNUMBER(T70)),NOT(ISNUMBER(U70))),"待补充",IF(T70&lt;=0,"不可保本",IFERROR(ROUNDUP(U70/T70,0),"检查输入")))))</f>
        <v/>
      </c>
      <c r="W70" s="10">
        <f>IF(A70="","",IF(OR(NOT(ISNUMBER(T70)),NOT(ISNUMBER(U70)),NOT(ISNUMBER(Q70))),"待补充",IF(OR(Q70&lt;0,Q70&lt;&gt;INT(Q70)),"检查输入",ROUND(Q70*T70-U70,4))))</f>
        <v/>
      </c>
    </row>
    <row r="71" spans="18:23" ht="34" customHeight="1">
      <c r="R71" s="10">
        <f>IF(A71="","",IF(COUNT(G71,L71)&lt;2,"待补充",IF(OR(G71&lt;0,L71&lt;0,L71&gt;1),"检查输入",G71*L71)))</f>
        <v/>
      </c>
      <c r="S71" s="10">
        <f>IF(A71="","",IF(COUNT(M71:N71)&lt;2,"待补充",IF(OR(M71&lt;0,M71&gt;1,N71&lt;0),"检查输入",M71*N71)))</f>
        <v/>
      </c>
      <c r="T71" s="10">
        <f>IF(A71="","",IF(COUNT(F71:N71)&lt;9,"待补充",IF(OR(MIN(F71:N71)&lt;0,L71&gt;1,M71&gt;1),"检查输入",ROUND(F71-SUM(H71:K71)-R71-S71,4))))</f>
        <v/>
      </c>
      <c r="U71" s="10">
        <f>IF(A71="","",IF(COUNT(O71:P71)&lt;2,"待补充",IF(MIN(O71:P71)&lt;0,"检查输入",SUM(O71:P71))))</f>
        <v/>
      </c>
      <c r="V71" s="9">
        <f>IF(A71="","",IF(OR(T71="检查输入",U71="检查输入"),"检查输入",IF(OR(NOT(ISNUMBER(T71)),NOT(ISNUMBER(U71))),"待补充",IF(T71&lt;=0,"不可保本",IFERROR(ROUNDUP(U71/T71,0),"检查输入")))))</f>
        <v/>
      </c>
      <c r="W71" s="10">
        <f>IF(A71="","",IF(OR(NOT(ISNUMBER(T71)),NOT(ISNUMBER(U71)),NOT(ISNUMBER(Q71))),"待补充",IF(OR(Q71&lt;0,Q71&lt;&gt;INT(Q71)),"检查输入",ROUND(Q71*T71-U71,4))))</f>
        <v/>
      </c>
    </row>
    <row r="72" spans="18:23" ht="34" customHeight="1">
      <c r="R72" s="10">
        <f>IF(A72="","",IF(COUNT(G72,L72)&lt;2,"待补充",IF(OR(G72&lt;0,L72&lt;0,L72&gt;1),"检查输入",G72*L72)))</f>
        <v/>
      </c>
      <c r="S72" s="10">
        <f>IF(A72="","",IF(COUNT(M72:N72)&lt;2,"待补充",IF(OR(M72&lt;0,M72&gt;1,N72&lt;0),"检查输入",M72*N72)))</f>
        <v/>
      </c>
      <c r="T72" s="10">
        <f>IF(A72="","",IF(COUNT(F72:N72)&lt;9,"待补充",IF(OR(MIN(F72:N72)&lt;0,L72&gt;1,M72&gt;1),"检查输入",ROUND(F72-SUM(H72:K72)-R72-S72,4))))</f>
        <v/>
      </c>
      <c r="U72" s="10">
        <f>IF(A72="","",IF(COUNT(O72:P72)&lt;2,"待补充",IF(MIN(O72:P72)&lt;0,"检查输入",SUM(O72:P72))))</f>
        <v/>
      </c>
      <c r="V72" s="9">
        <f>IF(A72="","",IF(OR(T72="检查输入",U72="检查输入"),"检查输入",IF(OR(NOT(ISNUMBER(T72)),NOT(ISNUMBER(U72))),"待补充",IF(T72&lt;=0,"不可保本",IFERROR(ROUNDUP(U72/T72,0),"检查输入")))))</f>
        <v/>
      </c>
      <c r="W72" s="10">
        <f>IF(A72="","",IF(OR(NOT(ISNUMBER(T72)),NOT(ISNUMBER(U72)),NOT(ISNUMBER(Q72))),"待补充",IF(OR(Q72&lt;0,Q72&lt;&gt;INT(Q72)),"检查输入",ROUND(Q72*T72-U72,4))))</f>
        <v/>
      </c>
    </row>
    <row r="73" spans="18:23" ht="34" customHeight="1">
      <c r="R73" s="10">
        <f>IF(A73="","",IF(COUNT(G73,L73)&lt;2,"待补充",IF(OR(G73&lt;0,L73&lt;0,L73&gt;1),"检查输入",G73*L73)))</f>
        <v/>
      </c>
      <c r="S73" s="10">
        <f>IF(A73="","",IF(COUNT(M73:N73)&lt;2,"待补充",IF(OR(M73&lt;0,M73&gt;1,N73&lt;0),"检查输入",M73*N73)))</f>
        <v/>
      </c>
      <c r="T73" s="10">
        <f>IF(A73="","",IF(COUNT(F73:N73)&lt;9,"待补充",IF(OR(MIN(F73:N73)&lt;0,L73&gt;1,M73&gt;1),"检查输入",ROUND(F73-SUM(H73:K73)-R73-S73,4))))</f>
        <v/>
      </c>
      <c r="U73" s="10">
        <f>IF(A73="","",IF(COUNT(O73:P73)&lt;2,"待补充",IF(MIN(O73:P73)&lt;0,"检查输入",SUM(O73:P73))))</f>
        <v/>
      </c>
      <c r="V73" s="9">
        <f>IF(A73="","",IF(OR(T73="检查输入",U73="检查输入"),"检查输入",IF(OR(NOT(ISNUMBER(T73)),NOT(ISNUMBER(U73))),"待补充",IF(T73&lt;=0,"不可保本",IFERROR(ROUNDUP(U73/T73,0),"检查输入")))))</f>
        <v/>
      </c>
      <c r="W73" s="10">
        <f>IF(A73="","",IF(OR(NOT(ISNUMBER(T73)),NOT(ISNUMBER(U73)),NOT(ISNUMBER(Q73))),"待补充",IF(OR(Q73&lt;0,Q73&lt;&gt;INT(Q73)),"检查输入",ROUND(Q73*T73-U73,4))))</f>
        <v/>
      </c>
    </row>
    <row r="74" spans="18:23" ht="34" customHeight="1">
      <c r="R74" s="10">
        <f>IF(A74="","",IF(COUNT(G74,L74)&lt;2,"待补充",IF(OR(G74&lt;0,L74&lt;0,L74&gt;1),"检查输入",G74*L74)))</f>
        <v/>
      </c>
      <c r="S74" s="10">
        <f>IF(A74="","",IF(COUNT(M74:N74)&lt;2,"待补充",IF(OR(M74&lt;0,M74&gt;1,N74&lt;0),"检查输入",M74*N74)))</f>
        <v/>
      </c>
      <c r="T74" s="10">
        <f>IF(A74="","",IF(COUNT(F74:N74)&lt;9,"待补充",IF(OR(MIN(F74:N74)&lt;0,L74&gt;1,M74&gt;1),"检查输入",ROUND(F74-SUM(H74:K74)-R74-S74,4))))</f>
        <v/>
      </c>
      <c r="U74" s="10">
        <f>IF(A74="","",IF(COUNT(O74:P74)&lt;2,"待补充",IF(MIN(O74:P74)&lt;0,"检查输入",SUM(O74:P74))))</f>
        <v/>
      </c>
      <c r="V74" s="9">
        <f>IF(A74="","",IF(OR(T74="检查输入",U74="检查输入"),"检查输入",IF(OR(NOT(ISNUMBER(T74)),NOT(ISNUMBER(U74))),"待补充",IF(T74&lt;=0,"不可保本",IFERROR(ROUNDUP(U74/T74,0),"检查输入")))))</f>
        <v/>
      </c>
      <c r="W74" s="10">
        <f>IF(A74="","",IF(OR(NOT(ISNUMBER(T74)),NOT(ISNUMBER(U74)),NOT(ISNUMBER(Q74))),"待补充",IF(OR(Q74&lt;0,Q74&lt;&gt;INT(Q74)),"检查输入",ROUND(Q74*T74-U74,4))))</f>
        <v/>
      </c>
    </row>
    <row r="75" spans="18:23" ht="34" customHeight="1">
      <c r="R75" s="10">
        <f>IF(A75="","",IF(COUNT(G75,L75)&lt;2,"待补充",IF(OR(G75&lt;0,L75&lt;0,L75&gt;1),"检查输入",G75*L75)))</f>
        <v/>
      </c>
      <c r="S75" s="10">
        <f>IF(A75="","",IF(COUNT(M75:N75)&lt;2,"待补充",IF(OR(M75&lt;0,M75&gt;1,N75&lt;0),"检查输入",M75*N75)))</f>
        <v/>
      </c>
      <c r="T75" s="10">
        <f>IF(A75="","",IF(COUNT(F75:N75)&lt;9,"待补充",IF(OR(MIN(F75:N75)&lt;0,L75&gt;1,M75&gt;1),"检查输入",ROUND(F75-SUM(H75:K75)-R75-S75,4))))</f>
        <v/>
      </c>
      <c r="U75" s="10">
        <f>IF(A75="","",IF(COUNT(O75:P75)&lt;2,"待补充",IF(MIN(O75:P75)&lt;0,"检查输入",SUM(O75:P75))))</f>
        <v/>
      </c>
      <c r="V75" s="9">
        <f>IF(A75="","",IF(OR(T75="检查输入",U75="检查输入"),"检查输入",IF(OR(NOT(ISNUMBER(T75)),NOT(ISNUMBER(U75))),"待补充",IF(T75&lt;=0,"不可保本",IFERROR(ROUNDUP(U75/T75,0),"检查输入")))))</f>
        <v/>
      </c>
      <c r="W75" s="10">
        <f>IF(A75="","",IF(OR(NOT(ISNUMBER(T75)),NOT(ISNUMBER(U75)),NOT(ISNUMBER(Q75))),"待补充",IF(OR(Q75&lt;0,Q75&lt;&gt;INT(Q75)),"检查输入",ROUND(Q75*T75-U75,4))))</f>
        <v/>
      </c>
    </row>
    <row r="76" spans="18:23" ht="34" customHeight="1">
      <c r="R76" s="10">
        <f>IF(A76="","",IF(COUNT(G76,L76)&lt;2,"待补充",IF(OR(G76&lt;0,L76&lt;0,L76&gt;1),"检查输入",G76*L76)))</f>
        <v/>
      </c>
      <c r="S76" s="10">
        <f>IF(A76="","",IF(COUNT(M76:N76)&lt;2,"待补充",IF(OR(M76&lt;0,M76&gt;1,N76&lt;0),"检查输入",M76*N76)))</f>
        <v/>
      </c>
      <c r="T76" s="10">
        <f>IF(A76="","",IF(COUNT(F76:N76)&lt;9,"待补充",IF(OR(MIN(F76:N76)&lt;0,L76&gt;1,M76&gt;1),"检查输入",ROUND(F76-SUM(H76:K76)-R76-S76,4))))</f>
        <v/>
      </c>
      <c r="U76" s="10">
        <f>IF(A76="","",IF(COUNT(O76:P76)&lt;2,"待补充",IF(MIN(O76:P76)&lt;0,"检查输入",SUM(O76:P76))))</f>
        <v/>
      </c>
      <c r="V76" s="9">
        <f>IF(A76="","",IF(OR(T76="检查输入",U76="检查输入"),"检查输入",IF(OR(NOT(ISNUMBER(T76)),NOT(ISNUMBER(U76))),"待补充",IF(T76&lt;=0,"不可保本",IFERROR(ROUNDUP(U76/T76,0),"检查输入")))))</f>
        <v/>
      </c>
      <c r="W76" s="10">
        <f>IF(A76="","",IF(OR(NOT(ISNUMBER(T76)),NOT(ISNUMBER(U76)),NOT(ISNUMBER(Q76))),"待补充",IF(OR(Q76&lt;0,Q76&lt;&gt;INT(Q76)),"检查输入",ROUND(Q76*T76-U76,4))))</f>
        <v/>
      </c>
    </row>
    <row r="77" spans="18:23" ht="34" customHeight="1">
      <c r="R77" s="10">
        <f>IF(A77="","",IF(COUNT(G77,L77)&lt;2,"待补充",IF(OR(G77&lt;0,L77&lt;0,L77&gt;1),"检查输入",G77*L77)))</f>
        <v/>
      </c>
      <c r="S77" s="10">
        <f>IF(A77="","",IF(COUNT(M77:N77)&lt;2,"待补充",IF(OR(M77&lt;0,M77&gt;1,N77&lt;0),"检查输入",M77*N77)))</f>
        <v/>
      </c>
      <c r="T77" s="10">
        <f>IF(A77="","",IF(COUNT(F77:N77)&lt;9,"待补充",IF(OR(MIN(F77:N77)&lt;0,L77&gt;1,M77&gt;1),"检查输入",ROUND(F77-SUM(H77:K77)-R77-S77,4))))</f>
        <v/>
      </c>
      <c r="U77" s="10">
        <f>IF(A77="","",IF(COUNT(O77:P77)&lt;2,"待补充",IF(MIN(O77:P77)&lt;0,"检查输入",SUM(O77:P77))))</f>
        <v/>
      </c>
      <c r="V77" s="9">
        <f>IF(A77="","",IF(OR(T77="检查输入",U77="检查输入"),"检查输入",IF(OR(NOT(ISNUMBER(T77)),NOT(ISNUMBER(U77))),"待补充",IF(T77&lt;=0,"不可保本",IFERROR(ROUNDUP(U77/T77,0),"检查输入")))))</f>
        <v/>
      </c>
      <c r="W77" s="10">
        <f>IF(A77="","",IF(OR(NOT(ISNUMBER(T77)),NOT(ISNUMBER(U77)),NOT(ISNUMBER(Q77))),"待补充",IF(OR(Q77&lt;0,Q77&lt;&gt;INT(Q77)),"检查输入",ROUND(Q77*T77-U77,4))))</f>
        <v/>
      </c>
    </row>
    <row r="78" spans="18:23" ht="34" customHeight="1">
      <c r="R78" s="10">
        <f>IF(A78="","",IF(COUNT(G78,L78)&lt;2,"待补充",IF(OR(G78&lt;0,L78&lt;0,L78&gt;1),"检查输入",G78*L78)))</f>
        <v/>
      </c>
      <c r="S78" s="10">
        <f>IF(A78="","",IF(COUNT(M78:N78)&lt;2,"待补充",IF(OR(M78&lt;0,M78&gt;1,N78&lt;0),"检查输入",M78*N78)))</f>
        <v/>
      </c>
      <c r="T78" s="10">
        <f>IF(A78="","",IF(COUNT(F78:N78)&lt;9,"待补充",IF(OR(MIN(F78:N78)&lt;0,L78&gt;1,M78&gt;1),"检查输入",ROUND(F78-SUM(H78:K78)-R78-S78,4))))</f>
        <v/>
      </c>
      <c r="U78" s="10">
        <f>IF(A78="","",IF(COUNT(O78:P78)&lt;2,"待补充",IF(MIN(O78:P78)&lt;0,"检查输入",SUM(O78:P78))))</f>
        <v/>
      </c>
      <c r="V78" s="9">
        <f>IF(A78="","",IF(OR(T78="检查输入",U78="检查输入"),"检查输入",IF(OR(NOT(ISNUMBER(T78)),NOT(ISNUMBER(U78))),"待补充",IF(T78&lt;=0,"不可保本",IFERROR(ROUNDUP(U78/T78,0),"检查输入")))))</f>
        <v/>
      </c>
      <c r="W78" s="10">
        <f>IF(A78="","",IF(OR(NOT(ISNUMBER(T78)),NOT(ISNUMBER(U78)),NOT(ISNUMBER(Q78))),"待补充",IF(OR(Q78&lt;0,Q78&lt;&gt;INT(Q78)),"检查输入",ROUND(Q78*T78-U78,4))))</f>
        <v/>
      </c>
    </row>
    <row r="79" spans="18:23" ht="34" customHeight="1">
      <c r="R79" s="10">
        <f>IF(A79="","",IF(COUNT(G79,L79)&lt;2,"待补充",IF(OR(G79&lt;0,L79&lt;0,L79&gt;1),"检查输入",G79*L79)))</f>
        <v/>
      </c>
      <c r="S79" s="10">
        <f>IF(A79="","",IF(COUNT(M79:N79)&lt;2,"待补充",IF(OR(M79&lt;0,M79&gt;1,N79&lt;0),"检查输入",M79*N79)))</f>
        <v/>
      </c>
      <c r="T79" s="10">
        <f>IF(A79="","",IF(COUNT(F79:N79)&lt;9,"待补充",IF(OR(MIN(F79:N79)&lt;0,L79&gt;1,M79&gt;1),"检查输入",ROUND(F79-SUM(H79:K79)-R79-S79,4))))</f>
        <v/>
      </c>
      <c r="U79" s="10">
        <f>IF(A79="","",IF(COUNT(O79:P79)&lt;2,"待补充",IF(MIN(O79:P79)&lt;0,"检查输入",SUM(O79:P79))))</f>
        <v/>
      </c>
      <c r="V79" s="9">
        <f>IF(A79="","",IF(OR(T79="检查输入",U79="检查输入"),"检查输入",IF(OR(NOT(ISNUMBER(T79)),NOT(ISNUMBER(U79))),"待补充",IF(T79&lt;=0,"不可保本",IFERROR(ROUNDUP(U79/T79,0),"检查输入")))))</f>
        <v/>
      </c>
      <c r="W79" s="10">
        <f>IF(A79="","",IF(OR(NOT(ISNUMBER(T79)),NOT(ISNUMBER(U79)),NOT(ISNUMBER(Q79))),"待补充",IF(OR(Q79&lt;0,Q79&lt;&gt;INT(Q79)),"检查输入",ROUND(Q79*T79-U79,4))))</f>
        <v/>
      </c>
    </row>
    <row r="80" spans="18:23" ht="34" customHeight="1">
      <c r="R80" s="10">
        <f>IF(A80="","",IF(COUNT(G80,L80)&lt;2,"待补充",IF(OR(G80&lt;0,L80&lt;0,L80&gt;1),"检查输入",G80*L80)))</f>
        <v/>
      </c>
      <c r="S80" s="10">
        <f>IF(A80="","",IF(COUNT(M80:N80)&lt;2,"待补充",IF(OR(M80&lt;0,M80&gt;1,N80&lt;0),"检查输入",M80*N80)))</f>
        <v/>
      </c>
      <c r="T80" s="10">
        <f>IF(A80="","",IF(COUNT(F80:N80)&lt;9,"待补充",IF(OR(MIN(F80:N80)&lt;0,L80&gt;1,M80&gt;1),"检查输入",ROUND(F80-SUM(H80:K80)-R80-S80,4))))</f>
        <v/>
      </c>
      <c r="U80" s="10">
        <f>IF(A80="","",IF(COUNT(O80:P80)&lt;2,"待补充",IF(MIN(O80:P80)&lt;0,"检查输入",SUM(O80:P80))))</f>
        <v/>
      </c>
      <c r="V80" s="9">
        <f>IF(A80="","",IF(OR(T80="检查输入",U80="检查输入"),"检查输入",IF(OR(NOT(ISNUMBER(T80)),NOT(ISNUMBER(U80))),"待补充",IF(T80&lt;=0,"不可保本",IFERROR(ROUNDUP(U80/T80,0),"检查输入")))))</f>
        <v/>
      </c>
      <c r="W80" s="10">
        <f>IF(A80="","",IF(OR(NOT(ISNUMBER(T80)),NOT(ISNUMBER(U80)),NOT(ISNUMBER(Q80))),"待补充",IF(OR(Q80&lt;0,Q80&lt;&gt;INT(Q80)),"检查输入",ROUND(Q80*T80-U80,4))))</f>
        <v/>
      </c>
    </row>
    <row r="81" spans="18:23" ht="34" customHeight="1">
      <c r="R81" s="10">
        <f>IF(A81="","",IF(COUNT(G81,L81)&lt;2,"待补充",IF(OR(G81&lt;0,L81&lt;0,L81&gt;1),"检查输入",G81*L81)))</f>
        <v/>
      </c>
      <c r="S81" s="10">
        <f>IF(A81="","",IF(COUNT(M81:N81)&lt;2,"待补充",IF(OR(M81&lt;0,M81&gt;1,N81&lt;0),"检查输入",M81*N81)))</f>
        <v/>
      </c>
      <c r="T81" s="10">
        <f>IF(A81="","",IF(COUNT(F81:N81)&lt;9,"待补充",IF(OR(MIN(F81:N81)&lt;0,L81&gt;1,M81&gt;1),"检查输入",ROUND(F81-SUM(H81:K81)-R81-S81,4))))</f>
        <v/>
      </c>
      <c r="U81" s="10">
        <f>IF(A81="","",IF(COUNT(O81:P81)&lt;2,"待补充",IF(MIN(O81:P81)&lt;0,"检查输入",SUM(O81:P81))))</f>
        <v/>
      </c>
      <c r="V81" s="9">
        <f>IF(A81="","",IF(OR(T81="检查输入",U81="检查输入"),"检查输入",IF(OR(NOT(ISNUMBER(T81)),NOT(ISNUMBER(U81))),"待补充",IF(T81&lt;=0,"不可保本",IFERROR(ROUNDUP(U81/T81,0),"检查输入")))))</f>
        <v/>
      </c>
      <c r="W81" s="10">
        <f>IF(A81="","",IF(OR(NOT(ISNUMBER(T81)),NOT(ISNUMBER(U81)),NOT(ISNUMBER(Q81))),"待补充",IF(OR(Q81&lt;0,Q81&lt;&gt;INT(Q81)),"检查输入",ROUND(Q81*T81-U81,4))))</f>
        <v/>
      </c>
    </row>
    <row r="82" spans="18:23" ht="34" customHeight="1">
      <c r="R82" s="10">
        <f>IF(A82="","",IF(COUNT(G82,L82)&lt;2,"待补充",IF(OR(G82&lt;0,L82&lt;0,L82&gt;1),"检查输入",G82*L82)))</f>
        <v/>
      </c>
      <c r="S82" s="10">
        <f>IF(A82="","",IF(COUNT(M82:N82)&lt;2,"待补充",IF(OR(M82&lt;0,M82&gt;1,N82&lt;0),"检查输入",M82*N82)))</f>
        <v/>
      </c>
      <c r="T82" s="10">
        <f>IF(A82="","",IF(COUNT(F82:N82)&lt;9,"待补充",IF(OR(MIN(F82:N82)&lt;0,L82&gt;1,M82&gt;1),"检查输入",ROUND(F82-SUM(H82:K82)-R82-S82,4))))</f>
        <v/>
      </c>
      <c r="U82" s="10">
        <f>IF(A82="","",IF(COUNT(O82:P82)&lt;2,"待补充",IF(MIN(O82:P82)&lt;0,"检查输入",SUM(O82:P82))))</f>
        <v/>
      </c>
      <c r="V82" s="9">
        <f>IF(A82="","",IF(OR(T82="检查输入",U82="检查输入"),"检查输入",IF(OR(NOT(ISNUMBER(T82)),NOT(ISNUMBER(U82))),"待补充",IF(T82&lt;=0,"不可保本",IFERROR(ROUNDUP(U82/T82,0),"检查输入")))))</f>
        <v/>
      </c>
      <c r="W82" s="10">
        <f>IF(A82="","",IF(OR(NOT(ISNUMBER(T82)),NOT(ISNUMBER(U82)),NOT(ISNUMBER(Q82))),"待补充",IF(OR(Q82&lt;0,Q82&lt;&gt;INT(Q82)),"检查输入",ROUND(Q82*T82-U82,4))))</f>
        <v/>
      </c>
    </row>
    <row r="83" spans="18:23" ht="34" customHeight="1">
      <c r="R83" s="10">
        <f>IF(A83="","",IF(COUNT(G83,L83)&lt;2,"待补充",IF(OR(G83&lt;0,L83&lt;0,L83&gt;1),"检查输入",G83*L83)))</f>
        <v/>
      </c>
      <c r="S83" s="10">
        <f>IF(A83="","",IF(COUNT(M83:N83)&lt;2,"待补充",IF(OR(M83&lt;0,M83&gt;1,N83&lt;0),"检查输入",M83*N83)))</f>
        <v/>
      </c>
      <c r="T83" s="10">
        <f>IF(A83="","",IF(COUNT(F83:N83)&lt;9,"待补充",IF(OR(MIN(F83:N83)&lt;0,L83&gt;1,M83&gt;1),"检查输入",ROUND(F83-SUM(H83:K83)-R83-S83,4))))</f>
        <v/>
      </c>
      <c r="U83" s="10">
        <f>IF(A83="","",IF(COUNT(O83:P83)&lt;2,"待补充",IF(MIN(O83:P83)&lt;0,"检查输入",SUM(O83:P83))))</f>
        <v/>
      </c>
      <c r="V83" s="9">
        <f>IF(A83="","",IF(OR(T83="检查输入",U83="检查输入"),"检查输入",IF(OR(NOT(ISNUMBER(T83)),NOT(ISNUMBER(U83))),"待补充",IF(T83&lt;=0,"不可保本",IFERROR(ROUNDUP(U83/T83,0),"检查输入")))))</f>
        <v/>
      </c>
      <c r="W83" s="10">
        <f>IF(A83="","",IF(OR(NOT(ISNUMBER(T83)),NOT(ISNUMBER(U83)),NOT(ISNUMBER(Q83))),"待补充",IF(OR(Q83&lt;0,Q83&lt;&gt;INT(Q83)),"检查输入",ROUND(Q83*T83-U83,4))))</f>
        <v/>
      </c>
    </row>
    <row r="84" spans="18:23" ht="34" customHeight="1">
      <c r="R84" s="10">
        <f>IF(A84="","",IF(COUNT(G84,L84)&lt;2,"待补充",IF(OR(G84&lt;0,L84&lt;0,L84&gt;1),"检查输入",G84*L84)))</f>
        <v/>
      </c>
      <c r="S84" s="10">
        <f>IF(A84="","",IF(COUNT(M84:N84)&lt;2,"待补充",IF(OR(M84&lt;0,M84&gt;1,N84&lt;0),"检查输入",M84*N84)))</f>
        <v/>
      </c>
      <c r="T84" s="10">
        <f>IF(A84="","",IF(COUNT(F84:N84)&lt;9,"待补充",IF(OR(MIN(F84:N84)&lt;0,L84&gt;1,M84&gt;1),"检查输入",ROUND(F84-SUM(H84:K84)-R84-S84,4))))</f>
        <v/>
      </c>
      <c r="U84" s="10">
        <f>IF(A84="","",IF(COUNT(O84:P84)&lt;2,"待补充",IF(MIN(O84:P84)&lt;0,"检查输入",SUM(O84:P84))))</f>
        <v/>
      </c>
      <c r="V84" s="9">
        <f>IF(A84="","",IF(OR(T84="检查输入",U84="检查输入"),"检查输入",IF(OR(NOT(ISNUMBER(T84)),NOT(ISNUMBER(U84))),"待补充",IF(T84&lt;=0,"不可保本",IFERROR(ROUNDUP(U84/T84,0),"检查输入")))))</f>
        <v/>
      </c>
      <c r="W84" s="10">
        <f>IF(A84="","",IF(OR(NOT(ISNUMBER(T84)),NOT(ISNUMBER(U84)),NOT(ISNUMBER(Q84))),"待补充",IF(OR(Q84&lt;0,Q84&lt;&gt;INT(Q84)),"检查输入",ROUND(Q84*T84-U84,4))))</f>
        <v/>
      </c>
    </row>
    <row r="85" spans="18:23" ht="34" customHeight="1">
      <c r="R85" s="10">
        <f>IF(A85="","",IF(COUNT(G85,L85)&lt;2,"待补充",IF(OR(G85&lt;0,L85&lt;0,L85&gt;1),"检查输入",G85*L85)))</f>
        <v/>
      </c>
      <c r="S85" s="10">
        <f>IF(A85="","",IF(COUNT(M85:N85)&lt;2,"待补充",IF(OR(M85&lt;0,M85&gt;1,N85&lt;0),"检查输入",M85*N85)))</f>
        <v/>
      </c>
      <c r="T85" s="10">
        <f>IF(A85="","",IF(COUNT(F85:N85)&lt;9,"待补充",IF(OR(MIN(F85:N85)&lt;0,L85&gt;1,M85&gt;1),"检查输入",ROUND(F85-SUM(H85:K85)-R85-S85,4))))</f>
        <v/>
      </c>
      <c r="U85" s="10">
        <f>IF(A85="","",IF(COUNT(O85:P85)&lt;2,"待补充",IF(MIN(O85:P85)&lt;0,"检查输入",SUM(O85:P85))))</f>
        <v/>
      </c>
      <c r="V85" s="9">
        <f>IF(A85="","",IF(OR(T85="检查输入",U85="检查输入"),"检查输入",IF(OR(NOT(ISNUMBER(T85)),NOT(ISNUMBER(U85))),"待补充",IF(T85&lt;=0,"不可保本",IFERROR(ROUNDUP(U85/T85,0),"检查输入")))))</f>
        <v/>
      </c>
      <c r="W85" s="10">
        <f>IF(A85="","",IF(OR(NOT(ISNUMBER(T85)),NOT(ISNUMBER(U85)),NOT(ISNUMBER(Q85))),"待补充",IF(OR(Q85&lt;0,Q85&lt;&gt;INT(Q85)),"检查输入",ROUND(Q85*T85-U85,4))))</f>
        <v/>
      </c>
    </row>
    <row r="86" spans="18:23" ht="34" customHeight="1">
      <c r="R86" s="10">
        <f>IF(A86="","",IF(COUNT(G86,L86)&lt;2,"待补充",IF(OR(G86&lt;0,L86&lt;0,L86&gt;1),"检查输入",G86*L86)))</f>
        <v/>
      </c>
      <c r="S86" s="10">
        <f>IF(A86="","",IF(COUNT(M86:N86)&lt;2,"待补充",IF(OR(M86&lt;0,M86&gt;1,N86&lt;0),"检查输入",M86*N86)))</f>
        <v/>
      </c>
      <c r="T86" s="10">
        <f>IF(A86="","",IF(COUNT(F86:N86)&lt;9,"待补充",IF(OR(MIN(F86:N86)&lt;0,L86&gt;1,M86&gt;1),"检查输入",ROUND(F86-SUM(H86:K86)-R86-S86,4))))</f>
        <v/>
      </c>
      <c r="U86" s="10">
        <f>IF(A86="","",IF(COUNT(O86:P86)&lt;2,"待补充",IF(MIN(O86:P86)&lt;0,"检查输入",SUM(O86:P86))))</f>
        <v/>
      </c>
      <c r="V86" s="9">
        <f>IF(A86="","",IF(OR(T86="检查输入",U86="检查输入"),"检查输入",IF(OR(NOT(ISNUMBER(T86)),NOT(ISNUMBER(U86))),"待补充",IF(T86&lt;=0,"不可保本",IFERROR(ROUNDUP(U86/T86,0),"检查输入")))))</f>
        <v/>
      </c>
      <c r="W86" s="10">
        <f>IF(A86="","",IF(OR(NOT(ISNUMBER(T86)),NOT(ISNUMBER(U86)),NOT(ISNUMBER(Q86))),"待补充",IF(OR(Q86&lt;0,Q86&lt;&gt;INT(Q86)),"检查输入",ROUND(Q86*T86-U86,4))))</f>
        <v/>
      </c>
    </row>
    <row r="87" spans="18:23" ht="34" customHeight="1">
      <c r="R87" s="10">
        <f>IF(A87="","",IF(COUNT(G87,L87)&lt;2,"待补充",IF(OR(G87&lt;0,L87&lt;0,L87&gt;1),"检查输入",G87*L87)))</f>
        <v/>
      </c>
      <c r="S87" s="10">
        <f>IF(A87="","",IF(COUNT(M87:N87)&lt;2,"待补充",IF(OR(M87&lt;0,M87&gt;1,N87&lt;0),"检查输入",M87*N87)))</f>
        <v/>
      </c>
      <c r="T87" s="10">
        <f>IF(A87="","",IF(COUNT(F87:N87)&lt;9,"待补充",IF(OR(MIN(F87:N87)&lt;0,L87&gt;1,M87&gt;1),"检查输入",ROUND(F87-SUM(H87:K87)-R87-S87,4))))</f>
        <v/>
      </c>
      <c r="U87" s="10">
        <f>IF(A87="","",IF(COUNT(O87:P87)&lt;2,"待补充",IF(MIN(O87:P87)&lt;0,"检查输入",SUM(O87:P87))))</f>
        <v/>
      </c>
      <c r="V87" s="9">
        <f>IF(A87="","",IF(OR(T87="检查输入",U87="检查输入"),"检查输入",IF(OR(NOT(ISNUMBER(T87)),NOT(ISNUMBER(U87))),"待补充",IF(T87&lt;=0,"不可保本",IFERROR(ROUNDUP(U87/T87,0),"检查输入")))))</f>
        <v/>
      </c>
      <c r="W87" s="10">
        <f>IF(A87="","",IF(OR(NOT(ISNUMBER(T87)),NOT(ISNUMBER(U87)),NOT(ISNUMBER(Q87))),"待补充",IF(OR(Q87&lt;0,Q87&lt;&gt;INT(Q87)),"检查输入",ROUND(Q87*T87-U87,4))))</f>
        <v/>
      </c>
    </row>
    <row r="88" spans="18:23" ht="34" customHeight="1">
      <c r="R88" s="10">
        <f>IF(A88="","",IF(COUNT(G88,L88)&lt;2,"待补充",IF(OR(G88&lt;0,L88&lt;0,L88&gt;1),"检查输入",G88*L88)))</f>
        <v/>
      </c>
      <c r="S88" s="10">
        <f>IF(A88="","",IF(COUNT(M88:N88)&lt;2,"待补充",IF(OR(M88&lt;0,M88&gt;1,N88&lt;0),"检查输入",M88*N88)))</f>
        <v/>
      </c>
      <c r="T88" s="10">
        <f>IF(A88="","",IF(COUNT(F88:N88)&lt;9,"待补充",IF(OR(MIN(F88:N88)&lt;0,L88&gt;1,M88&gt;1),"检查输入",ROUND(F88-SUM(H88:K88)-R88-S88,4))))</f>
        <v/>
      </c>
      <c r="U88" s="10">
        <f>IF(A88="","",IF(COUNT(O88:P88)&lt;2,"待补充",IF(MIN(O88:P88)&lt;0,"检查输入",SUM(O88:P88))))</f>
        <v/>
      </c>
      <c r="V88" s="9">
        <f>IF(A88="","",IF(OR(T88="检查输入",U88="检查输入"),"检查输入",IF(OR(NOT(ISNUMBER(T88)),NOT(ISNUMBER(U88))),"待补充",IF(T88&lt;=0,"不可保本",IFERROR(ROUNDUP(U88/T88,0),"检查输入")))))</f>
        <v/>
      </c>
      <c r="W88" s="10">
        <f>IF(A88="","",IF(OR(NOT(ISNUMBER(T88)),NOT(ISNUMBER(U88)),NOT(ISNUMBER(Q88))),"待补充",IF(OR(Q88&lt;0,Q88&lt;&gt;INT(Q88)),"检查输入",ROUND(Q88*T88-U88,4))))</f>
        <v/>
      </c>
    </row>
    <row r="89" spans="18:23" ht="34" customHeight="1">
      <c r="R89" s="10">
        <f>IF(A89="","",IF(COUNT(G89,L89)&lt;2,"待补充",IF(OR(G89&lt;0,L89&lt;0,L89&gt;1),"检查输入",G89*L89)))</f>
        <v/>
      </c>
      <c r="S89" s="10">
        <f>IF(A89="","",IF(COUNT(M89:N89)&lt;2,"待补充",IF(OR(M89&lt;0,M89&gt;1,N89&lt;0),"检查输入",M89*N89)))</f>
        <v/>
      </c>
      <c r="T89" s="10">
        <f>IF(A89="","",IF(COUNT(F89:N89)&lt;9,"待补充",IF(OR(MIN(F89:N89)&lt;0,L89&gt;1,M89&gt;1),"检查输入",ROUND(F89-SUM(H89:K89)-R89-S89,4))))</f>
        <v/>
      </c>
      <c r="U89" s="10">
        <f>IF(A89="","",IF(COUNT(O89:P89)&lt;2,"待补充",IF(MIN(O89:P89)&lt;0,"检查输入",SUM(O89:P89))))</f>
        <v/>
      </c>
      <c r="V89" s="9">
        <f>IF(A89="","",IF(OR(T89="检查输入",U89="检查输入"),"检查输入",IF(OR(NOT(ISNUMBER(T89)),NOT(ISNUMBER(U89))),"待补充",IF(T89&lt;=0,"不可保本",IFERROR(ROUNDUP(U89/T89,0),"检查输入")))))</f>
        <v/>
      </c>
      <c r="W89" s="10">
        <f>IF(A89="","",IF(OR(NOT(ISNUMBER(T89)),NOT(ISNUMBER(U89)),NOT(ISNUMBER(Q89))),"待补充",IF(OR(Q89&lt;0,Q89&lt;&gt;INT(Q89)),"检查输入",ROUND(Q89*T89-U89,4))))</f>
        <v/>
      </c>
    </row>
    <row r="90" spans="18:23" ht="34" customHeight="1">
      <c r="R90" s="10">
        <f>IF(A90="","",IF(COUNT(G90,L90)&lt;2,"待补充",IF(OR(G90&lt;0,L90&lt;0,L90&gt;1),"检查输入",G90*L90)))</f>
        <v/>
      </c>
      <c r="S90" s="10">
        <f>IF(A90="","",IF(COUNT(M90:N90)&lt;2,"待补充",IF(OR(M90&lt;0,M90&gt;1,N90&lt;0),"检查输入",M90*N90)))</f>
        <v/>
      </c>
      <c r="T90" s="10">
        <f>IF(A90="","",IF(COUNT(F90:N90)&lt;9,"待补充",IF(OR(MIN(F90:N90)&lt;0,L90&gt;1,M90&gt;1),"检查输入",ROUND(F90-SUM(H90:K90)-R90-S90,4))))</f>
        <v/>
      </c>
      <c r="U90" s="10">
        <f>IF(A90="","",IF(COUNT(O90:P90)&lt;2,"待补充",IF(MIN(O90:P90)&lt;0,"检查输入",SUM(O90:P90))))</f>
        <v/>
      </c>
      <c r="V90" s="9">
        <f>IF(A90="","",IF(OR(T90="检查输入",U90="检查输入"),"检查输入",IF(OR(NOT(ISNUMBER(T90)),NOT(ISNUMBER(U90))),"待补充",IF(T90&lt;=0,"不可保本",IFERROR(ROUNDUP(U90/T90,0),"检查输入")))))</f>
        <v/>
      </c>
      <c r="W90" s="10">
        <f>IF(A90="","",IF(OR(NOT(ISNUMBER(T90)),NOT(ISNUMBER(U90)),NOT(ISNUMBER(Q90))),"待补充",IF(OR(Q90&lt;0,Q90&lt;&gt;INT(Q90)),"检查输入",ROUND(Q90*T90-U90,4))))</f>
        <v/>
      </c>
    </row>
    <row r="91" spans="18:23" ht="34" customHeight="1">
      <c r="R91" s="10">
        <f>IF(A91="","",IF(COUNT(G91,L91)&lt;2,"待补充",IF(OR(G91&lt;0,L91&lt;0,L91&gt;1),"检查输入",G91*L91)))</f>
        <v/>
      </c>
      <c r="S91" s="10">
        <f>IF(A91="","",IF(COUNT(M91:N91)&lt;2,"待补充",IF(OR(M91&lt;0,M91&gt;1,N91&lt;0),"检查输入",M91*N91)))</f>
        <v/>
      </c>
      <c r="T91" s="10">
        <f>IF(A91="","",IF(COUNT(F91:N91)&lt;9,"待补充",IF(OR(MIN(F91:N91)&lt;0,L91&gt;1,M91&gt;1),"检查输入",ROUND(F91-SUM(H91:K91)-R91-S91,4))))</f>
        <v/>
      </c>
      <c r="U91" s="10">
        <f>IF(A91="","",IF(COUNT(O91:P91)&lt;2,"待补充",IF(MIN(O91:P91)&lt;0,"检查输入",SUM(O91:P91))))</f>
        <v/>
      </c>
      <c r="V91" s="9">
        <f>IF(A91="","",IF(OR(T91="检查输入",U91="检查输入"),"检查输入",IF(OR(NOT(ISNUMBER(T91)),NOT(ISNUMBER(U91))),"待补充",IF(T91&lt;=0,"不可保本",IFERROR(ROUNDUP(U91/T91,0),"检查输入")))))</f>
        <v/>
      </c>
      <c r="W91" s="10">
        <f>IF(A91="","",IF(OR(NOT(ISNUMBER(T91)),NOT(ISNUMBER(U91)),NOT(ISNUMBER(Q91))),"待补充",IF(OR(Q91&lt;0,Q91&lt;&gt;INT(Q91)),"检查输入",ROUND(Q91*T91-U91,4))))</f>
        <v/>
      </c>
    </row>
    <row r="92" spans="18:23" ht="34" customHeight="1">
      <c r="R92" s="10">
        <f>IF(A92="","",IF(COUNT(G92,L92)&lt;2,"待补充",IF(OR(G92&lt;0,L92&lt;0,L92&gt;1),"检查输入",G92*L92)))</f>
        <v/>
      </c>
      <c r="S92" s="10">
        <f>IF(A92="","",IF(COUNT(M92:N92)&lt;2,"待补充",IF(OR(M92&lt;0,M92&gt;1,N92&lt;0),"检查输入",M92*N92)))</f>
        <v/>
      </c>
      <c r="T92" s="10">
        <f>IF(A92="","",IF(COUNT(F92:N92)&lt;9,"待补充",IF(OR(MIN(F92:N92)&lt;0,L92&gt;1,M92&gt;1),"检查输入",ROUND(F92-SUM(H92:K92)-R92-S92,4))))</f>
        <v/>
      </c>
      <c r="U92" s="10">
        <f>IF(A92="","",IF(COUNT(O92:P92)&lt;2,"待补充",IF(MIN(O92:P92)&lt;0,"检查输入",SUM(O92:P92))))</f>
        <v/>
      </c>
      <c r="V92" s="9">
        <f>IF(A92="","",IF(OR(T92="检查输入",U92="检查输入"),"检查输入",IF(OR(NOT(ISNUMBER(T92)),NOT(ISNUMBER(U92))),"待补充",IF(T92&lt;=0,"不可保本",IFERROR(ROUNDUP(U92/T92,0),"检查输入")))))</f>
        <v/>
      </c>
      <c r="W92" s="10">
        <f>IF(A92="","",IF(OR(NOT(ISNUMBER(T92)),NOT(ISNUMBER(U92)),NOT(ISNUMBER(Q92))),"待补充",IF(OR(Q92&lt;0,Q92&lt;&gt;INT(Q92)),"检查输入",ROUND(Q92*T92-U92,4))))</f>
        <v/>
      </c>
    </row>
    <row r="93" spans="18:23" ht="34" customHeight="1">
      <c r="R93" s="10">
        <f>IF(A93="","",IF(COUNT(G93,L93)&lt;2,"待补充",IF(OR(G93&lt;0,L93&lt;0,L93&gt;1),"检查输入",G93*L93)))</f>
        <v/>
      </c>
      <c r="S93" s="10">
        <f>IF(A93="","",IF(COUNT(M93:N93)&lt;2,"待补充",IF(OR(M93&lt;0,M93&gt;1,N93&lt;0),"检查输入",M93*N93)))</f>
        <v/>
      </c>
      <c r="T93" s="10">
        <f>IF(A93="","",IF(COUNT(F93:N93)&lt;9,"待补充",IF(OR(MIN(F93:N93)&lt;0,L93&gt;1,M93&gt;1),"检查输入",ROUND(F93-SUM(H93:K93)-R93-S93,4))))</f>
        <v/>
      </c>
      <c r="U93" s="10">
        <f>IF(A93="","",IF(COUNT(O93:P93)&lt;2,"待补充",IF(MIN(O93:P93)&lt;0,"检查输入",SUM(O93:P93))))</f>
        <v/>
      </c>
      <c r="V93" s="9">
        <f>IF(A93="","",IF(OR(T93="检查输入",U93="检查输入"),"检查输入",IF(OR(NOT(ISNUMBER(T93)),NOT(ISNUMBER(U93))),"待补充",IF(T93&lt;=0,"不可保本",IFERROR(ROUNDUP(U93/T93,0),"检查输入")))))</f>
        <v/>
      </c>
      <c r="W93" s="10">
        <f>IF(A93="","",IF(OR(NOT(ISNUMBER(T93)),NOT(ISNUMBER(U93)),NOT(ISNUMBER(Q93))),"待补充",IF(OR(Q93&lt;0,Q93&lt;&gt;INT(Q93)),"检查输入",ROUND(Q93*T93-U93,4))))</f>
        <v/>
      </c>
    </row>
    <row r="94" spans="18:23" ht="34" customHeight="1">
      <c r="R94" s="10">
        <f>IF(A94="","",IF(COUNT(G94,L94)&lt;2,"待补充",IF(OR(G94&lt;0,L94&lt;0,L94&gt;1),"检查输入",G94*L94)))</f>
        <v/>
      </c>
      <c r="S94" s="10">
        <f>IF(A94="","",IF(COUNT(M94:N94)&lt;2,"待补充",IF(OR(M94&lt;0,M94&gt;1,N94&lt;0),"检查输入",M94*N94)))</f>
        <v/>
      </c>
      <c r="T94" s="10">
        <f>IF(A94="","",IF(COUNT(F94:N94)&lt;9,"待补充",IF(OR(MIN(F94:N94)&lt;0,L94&gt;1,M94&gt;1),"检查输入",ROUND(F94-SUM(H94:K94)-R94-S94,4))))</f>
        <v/>
      </c>
      <c r="U94" s="10">
        <f>IF(A94="","",IF(COUNT(O94:P94)&lt;2,"待补充",IF(MIN(O94:P94)&lt;0,"检查输入",SUM(O94:P94))))</f>
        <v/>
      </c>
      <c r="V94" s="9">
        <f>IF(A94="","",IF(OR(T94="检查输入",U94="检查输入"),"检查输入",IF(OR(NOT(ISNUMBER(T94)),NOT(ISNUMBER(U94))),"待补充",IF(T94&lt;=0,"不可保本",IFERROR(ROUNDUP(U94/T94,0),"检查输入")))))</f>
        <v/>
      </c>
      <c r="W94" s="10">
        <f>IF(A94="","",IF(OR(NOT(ISNUMBER(T94)),NOT(ISNUMBER(U94)),NOT(ISNUMBER(Q94))),"待补充",IF(OR(Q94&lt;0,Q94&lt;&gt;INT(Q94)),"检查输入",ROUND(Q94*T94-U94,4))))</f>
        <v/>
      </c>
    </row>
    <row r="95" spans="18:23" ht="34" customHeight="1">
      <c r="R95" s="10">
        <f>IF(A95="","",IF(COUNT(G95,L95)&lt;2,"待补充",IF(OR(G95&lt;0,L95&lt;0,L95&gt;1),"检查输入",G95*L95)))</f>
        <v/>
      </c>
      <c r="S95" s="10">
        <f>IF(A95="","",IF(COUNT(M95:N95)&lt;2,"待补充",IF(OR(M95&lt;0,M95&gt;1,N95&lt;0),"检查输入",M95*N95)))</f>
        <v/>
      </c>
      <c r="T95" s="10">
        <f>IF(A95="","",IF(COUNT(F95:N95)&lt;9,"待补充",IF(OR(MIN(F95:N95)&lt;0,L95&gt;1,M95&gt;1),"检查输入",ROUND(F95-SUM(H95:K95)-R95-S95,4))))</f>
        <v/>
      </c>
      <c r="U95" s="10">
        <f>IF(A95="","",IF(COUNT(O95:P95)&lt;2,"待补充",IF(MIN(O95:P95)&lt;0,"检查输入",SUM(O95:P95))))</f>
        <v/>
      </c>
      <c r="V95" s="9">
        <f>IF(A95="","",IF(OR(T95="检查输入",U95="检查输入"),"检查输入",IF(OR(NOT(ISNUMBER(T95)),NOT(ISNUMBER(U95))),"待补充",IF(T95&lt;=0,"不可保本",IFERROR(ROUNDUP(U95/T95,0),"检查输入")))))</f>
        <v/>
      </c>
      <c r="W95" s="10">
        <f>IF(A95="","",IF(OR(NOT(ISNUMBER(T95)),NOT(ISNUMBER(U95)),NOT(ISNUMBER(Q95))),"待补充",IF(OR(Q95&lt;0,Q95&lt;&gt;INT(Q95)),"检查输入",ROUND(Q95*T95-U95,4))))</f>
        <v/>
      </c>
    </row>
    <row r="96" spans="18:23" ht="34" customHeight="1">
      <c r="R96" s="10">
        <f>IF(A96="","",IF(COUNT(G96,L96)&lt;2,"待补充",IF(OR(G96&lt;0,L96&lt;0,L96&gt;1),"检查输入",G96*L96)))</f>
        <v/>
      </c>
      <c r="S96" s="10">
        <f>IF(A96="","",IF(COUNT(M96:N96)&lt;2,"待补充",IF(OR(M96&lt;0,M96&gt;1,N96&lt;0),"检查输入",M96*N96)))</f>
        <v/>
      </c>
      <c r="T96" s="10">
        <f>IF(A96="","",IF(COUNT(F96:N96)&lt;9,"待补充",IF(OR(MIN(F96:N96)&lt;0,L96&gt;1,M96&gt;1),"检查输入",ROUND(F96-SUM(H96:K96)-R96-S96,4))))</f>
        <v/>
      </c>
      <c r="U96" s="10">
        <f>IF(A96="","",IF(COUNT(O96:P96)&lt;2,"待补充",IF(MIN(O96:P96)&lt;0,"检查输入",SUM(O96:P96))))</f>
        <v/>
      </c>
      <c r="V96" s="9">
        <f>IF(A96="","",IF(OR(T96="检查输入",U96="检查输入"),"检查输入",IF(OR(NOT(ISNUMBER(T96)),NOT(ISNUMBER(U96))),"待补充",IF(T96&lt;=0,"不可保本",IFERROR(ROUNDUP(U96/T96,0),"检查输入")))))</f>
        <v/>
      </c>
      <c r="W96" s="10">
        <f>IF(A96="","",IF(OR(NOT(ISNUMBER(T96)),NOT(ISNUMBER(U96)),NOT(ISNUMBER(Q96))),"待补充",IF(OR(Q96&lt;0,Q96&lt;&gt;INT(Q96)),"检查输入",ROUND(Q96*T96-U96,4))))</f>
        <v/>
      </c>
    </row>
    <row r="97" spans="18:23" ht="34" customHeight="1">
      <c r="R97" s="10">
        <f>IF(A97="","",IF(COUNT(G97,L97)&lt;2,"待补充",IF(OR(G97&lt;0,L97&lt;0,L97&gt;1),"检查输入",G97*L97)))</f>
        <v/>
      </c>
      <c r="S97" s="10">
        <f>IF(A97="","",IF(COUNT(M97:N97)&lt;2,"待补充",IF(OR(M97&lt;0,M97&gt;1,N97&lt;0),"检查输入",M97*N97)))</f>
        <v/>
      </c>
      <c r="T97" s="10">
        <f>IF(A97="","",IF(COUNT(F97:N97)&lt;9,"待补充",IF(OR(MIN(F97:N97)&lt;0,L97&gt;1,M97&gt;1),"检查输入",ROUND(F97-SUM(H97:K97)-R97-S97,4))))</f>
        <v/>
      </c>
      <c r="U97" s="10">
        <f>IF(A97="","",IF(COUNT(O97:P97)&lt;2,"待补充",IF(MIN(O97:P97)&lt;0,"检查输入",SUM(O97:P97))))</f>
        <v/>
      </c>
      <c r="V97" s="9">
        <f>IF(A97="","",IF(OR(T97="检查输入",U97="检查输入"),"检查输入",IF(OR(NOT(ISNUMBER(T97)),NOT(ISNUMBER(U97))),"待补充",IF(T97&lt;=0,"不可保本",IFERROR(ROUNDUP(U97/T97,0),"检查输入")))))</f>
        <v/>
      </c>
      <c r="W97" s="10">
        <f>IF(A97="","",IF(OR(NOT(ISNUMBER(T97)),NOT(ISNUMBER(U97)),NOT(ISNUMBER(Q97))),"待补充",IF(OR(Q97&lt;0,Q97&lt;&gt;INT(Q97)),"检查输入",ROUND(Q97*T97-U97,4))))</f>
        <v/>
      </c>
    </row>
    <row r="98" spans="18:23" ht="34" customHeight="1">
      <c r="R98" s="10">
        <f>IF(A98="","",IF(COUNT(G98,L98)&lt;2,"待补充",IF(OR(G98&lt;0,L98&lt;0,L98&gt;1),"检查输入",G98*L98)))</f>
        <v/>
      </c>
      <c r="S98" s="10">
        <f>IF(A98="","",IF(COUNT(M98:N98)&lt;2,"待补充",IF(OR(M98&lt;0,M98&gt;1,N98&lt;0),"检查输入",M98*N98)))</f>
        <v/>
      </c>
      <c r="T98" s="10">
        <f>IF(A98="","",IF(COUNT(F98:N98)&lt;9,"待补充",IF(OR(MIN(F98:N98)&lt;0,L98&gt;1,M98&gt;1),"检查输入",ROUND(F98-SUM(H98:K98)-R98-S98,4))))</f>
        <v/>
      </c>
      <c r="U98" s="10">
        <f>IF(A98="","",IF(COUNT(O98:P98)&lt;2,"待补充",IF(MIN(O98:P98)&lt;0,"检查输入",SUM(O98:P98))))</f>
        <v/>
      </c>
      <c r="V98" s="9">
        <f>IF(A98="","",IF(OR(T98="检查输入",U98="检查输入"),"检查输入",IF(OR(NOT(ISNUMBER(T98)),NOT(ISNUMBER(U98))),"待补充",IF(T98&lt;=0,"不可保本",IFERROR(ROUNDUP(U98/T98,0),"检查输入")))))</f>
        <v/>
      </c>
      <c r="W98" s="10">
        <f>IF(A98="","",IF(OR(NOT(ISNUMBER(T98)),NOT(ISNUMBER(U98)),NOT(ISNUMBER(Q98))),"待补充",IF(OR(Q98&lt;0,Q98&lt;&gt;INT(Q98)),"检查输入",ROUND(Q98*T98-U98,4))))</f>
        <v/>
      </c>
    </row>
    <row r="99" spans="18:23" ht="34" customHeight="1">
      <c r="R99" s="10">
        <f>IF(A99="","",IF(COUNT(G99,L99)&lt;2,"待补充",IF(OR(G99&lt;0,L99&lt;0,L99&gt;1),"检查输入",G99*L99)))</f>
        <v/>
      </c>
      <c r="S99" s="10">
        <f>IF(A99="","",IF(COUNT(M99:N99)&lt;2,"待补充",IF(OR(M99&lt;0,M99&gt;1,N99&lt;0),"检查输入",M99*N99)))</f>
        <v/>
      </c>
      <c r="T99" s="10">
        <f>IF(A99="","",IF(COUNT(F99:N99)&lt;9,"待补充",IF(OR(MIN(F99:N99)&lt;0,L99&gt;1,M99&gt;1),"检查输入",ROUND(F99-SUM(H99:K99)-R99-S99,4))))</f>
        <v/>
      </c>
      <c r="U99" s="10">
        <f>IF(A99="","",IF(COUNT(O99:P99)&lt;2,"待补充",IF(MIN(O99:P99)&lt;0,"检查输入",SUM(O99:P99))))</f>
        <v/>
      </c>
      <c r="V99" s="9">
        <f>IF(A99="","",IF(OR(T99="检查输入",U99="检查输入"),"检查输入",IF(OR(NOT(ISNUMBER(T99)),NOT(ISNUMBER(U99))),"待补充",IF(T99&lt;=0,"不可保本",IFERROR(ROUNDUP(U99/T99,0),"检查输入")))))</f>
        <v/>
      </c>
      <c r="W99" s="10">
        <f>IF(A99="","",IF(OR(NOT(ISNUMBER(T99)),NOT(ISNUMBER(U99)),NOT(ISNUMBER(Q99))),"待补充",IF(OR(Q99&lt;0,Q99&lt;&gt;INT(Q99)),"检查输入",ROUND(Q99*T99-U99,4))))</f>
        <v/>
      </c>
    </row>
    <row r="100" spans="18:23" ht="34" customHeight="1">
      <c r="R100" s="10">
        <f>IF(A100="","",IF(COUNT(G100,L100)&lt;2,"待补充",IF(OR(G100&lt;0,L100&lt;0,L100&gt;1),"检查输入",G100*L100)))</f>
        <v/>
      </c>
      <c r="S100" s="10">
        <f>IF(A100="","",IF(COUNT(M100:N100)&lt;2,"待补充",IF(OR(M100&lt;0,M100&gt;1,N100&lt;0),"检查输入",M100*N100)))</f>
        <v/>
      </c>
      <c r="T100" s="10">
        <f>IF(A100="","",IF(COUNT(F100:N100)&lt;9,"待补充",IF(OR(MIN(F100:N100)&lt;0,L100&gt;1,M100&gt;1),"检查输入",ROUND(F100-SUM(H100:K100)-R100-S100,4))))</f>
        <v/>
      </c>
      <c r="U100" s="10">
        <f>IF(A100="","",IF(COUNT(O100:P100)&lt;2,"待补充",IF(MIN(O100:P100)&lt;0,"检查输入",SUM(O100:P100))))</f>
        <v/>
      </c>
      <c r="V100" s="9">
        <f>IF(A100="","",IF(OR(T100="检查输入",U100="检查输入"),"检查输入",IF(OR(NOT(ISNUMBER(T100)),NOT(ISNUMBER(U100))),"待补充",IF(T100&lt;=0,"不可保本",IFERROR(ROUNDUP(U100/T100,0),"检查输入")))))</f>
        <v/>
      </c>
      <c r="W100" s="10">
        <f>IF(A100="","",IF(OR(NOT(ISNUMBER(T100)),NOT(ISNUMBER(U100)),NOT(ISNUMBER(Q100))),"待补充",IF(OR(Q100&lt;0,Q100&lt;&gt;INT(Q100)),"检查输入",ROUND(Q100*T100-U100,4))))</f>
        <v/>
      </c>
    </row>
    <row r="101" spans="18:23" ht="34" customHeight="1">
      <c r="R101" s="10">
        <f>IF(A101="","",IF(COUNT(G101,L101)&lt;2,"待补充",IF(OR(G101&lt;0,L101&lt;0,L101&gt;1),"检查输入",G101*L101)))</f>
        <v/>
      </c>
      <c r="S101" s="10">
        <f>IF(A101="","",IF(COUNT(M101:N101)&lt;2,"待补充",IF(OR(M101&lt;0,M101&gt;1,N101&lt;0),"检查输入",M101*N101)))</f>
        <v/>
      </c>
      <c r="T101" s="10">
        <f>IF(A101="","",IF(COUNT(F101:N101)&lt;9,"待补充",IF(OR(MIN(F101:N101)&lt;0,L101&gt;1,M101&gt;1),"检查输入",ROUND(F101-SUM(H101:K101)-R101-S101,4))))</f>
        <v/>
      </c>
      <c r="U101" s="10">
        <f>IF(A101="","",IF(COUNT(O101:P101)&lt;2,"待补充",IF(MIN(O101:P101)&lt;0,"检查输入",SUM(O101:P101))))</f>
        <v/>
      </c>
      <c r="V101" s="9">
        <f>IF(A101="","",IF(OR(T101="检查输入",U101="检查输入"),"检查输入",IF(OR(NOT(ISNUMBER(T101)),NOT(ISNUMBER(U101))),"待补充",IF(T101&lt;=0,"不可保本",IFERROR(ROUNDUP(U101/T101,0),"检查输入")))))</f>
        <v/>
      </c>
      <c r="W101" s="10">
        <f>IF(A101="","",IF(OR(NOT(ISNUMBER(T101)),NOT(ISNUMBER(U101)),NOT(ISNUMBER(Q101))),"待补充",IF(OR(Q101&lt;0,Q101&lt;&gt;INT(Q101)),"检查输入",ROUND(Q101*T101-U101,4))))</f>
        <v/>
      </c>
    </row>
    <row r="102" spans="18:23" ht="34" customHeight="1">
      <c r="R102" s="10">
        <f>IF(A102="","",IF(COUNT(G102,L102)&lt;2,"待补充",IF(OR(G102&lt;0,L102&lt;0,L102&gt;1),"检查输入",G102*L102)))</f>
        <v/>
      </c>
      <c r="S102" s="10">
        <f>IF(A102="","",IF(COUNT(M102:N102)&lt;2,"待补充",IF(OR(M102&lt;0,M102&gt;1,N102&lt;0),"检查输入",M102*N102)))</f>
        <v/>
      </c>
      <c r="T102" s="10">
        <f>IF(A102="","",IF(COUNT(F102:N102)&lt;9,"待补充",IF(OR(MIN(F102:N102)&lt;0,L102&gt;1,M102&gt;1),"检查输入",ROUND(F102-SUM(H102:K102)-R102-S102,4))))</f>
        <v/>
      </c>
      <c r="U102" s="10">
        <f>IF(A102="","",IF(COUNT(O102:P102)&lt;2,"待补充",IF(MIN(O102:P102)&lt;0,"检查输入",SUM(O102:P102))))</f>
        <v/>
      </c>
      <c r="V102" s="9">
        <f>IF(A102="","",IF(OR(T102="检查输入",U102="检查输入"),"检查输入",IF(OR(NOT(ISNUMBER(T102)),NOT(ISNUMBER(U102))),"待补充",IF(T102&lt;=0,"不可保本",IFERROR(ROUNDUP(U102/T102,0),"检查输入")))))</f>
        <v/>
      </c>
      <c r="W102" s="10">
        <f>IF(A102="","",IF(OR(NOT(ISNUMBER(T102)),NOT(ISNUMBER(U102)),NOT(ISNUMBER(Q102))),"待补充",IF(OR(Q102&lt;0,Q102&lt;&gt;INT(Q102)),"检查输入",ROUND(Q102*T102-U102,4))))</f>
        <v/>
      </c>
    </row>
    <row r="103" spans="18:23" ht="34" customHeight="1">
      <c r="R103" s="10">
        <f>IF(A103="","",IF(COUNT(G103,L103)&lt;2,"待补充",IF(OR(G103&lt;0,L103&lt;0,L103&gt;1),"检查输入",G103*L103)))</f>
        <v/>
      </c>
      <c r="S103" s="10">
        <f>IF(A103="","",IF(COUNT(M103:N103)&lt;2,"待补充",IF(OR(M103&lt;0,M103&gt;1,N103&lt;0),"检查输入",M103*N103)))</f>
        <v/>
      </c>
      <c r="T103" s="10">
        <f>IF(A103="","",IF(COUNT(F103:N103)&lt;9,"待补充",IF(OR(MIN(F103:N103)&lt;0,L103&gt;1,M103&gt;1),"检查输入",ROUND(F103-SUM(H103:K103)-R103-S103,4))))</f>
        <v/>
      </c>
      <c r="U103" s="10">
        <f>IF(A103="","",IF(COUNT(O103:P103)&lt;2,"待补充",IF(MIN(O103:P103)&lt;0,"检查输入",SUM(O103:P103))))</f>
        <v/>
      </c>
      <c r="V103" s="9">
        <f>IF(A103="","",IF(OR(T103="检查输入",U103="检查输入"),"检查输入",IF(OR(NOT(ISNUMBER(T103)),NOT(ISNUMBER(U103))),"待补充",IF(T103&lt;=0,"不可保本",IFERROR(ROUNDUP(U103/T103,0),"检查输入")))))</f>
        <v/>
      </c>
      <c r="W103" s="10">
        <f>IF(A103="","",IF(OR(NOT(ISNUMBER(T103)),NOT(ISNUMBER(U103)),NOT(ISNUMBER(Q103))),"待补充",IF(OR(Q103&lt;0,Q103&lt;&gt;INT(Q103)),"检查输入",ROUND(Q103*T103-U103,4))))</f>
        <v/>
      </c>
    </row>
    <row r="104" spans="18:23" ht="34" customHeight="1">
      <c r="R104" s="10">
        <f>IF(A104="","",IF(COUNT(G104,L104)&lt;2,"待补充",IF(OR(G104&lt;0,L104&lt;0,L104&gt;1),"检查输入",G104*L104)))</f>
        <v/>
      </c>
      <c r="S104" s="10">
        <f>IF(A104="","",IF(COUNT(M104:N104)&lt;2,"待补充",IF(OR(M104&lt;0,M104&gt;1,N104&lt;0),"检查输入",M104*N104)))</f>
        <v/>
      </c>
      <c r="T104" s="10">
        <f>IF(A104="","",IF(COUNT(F104:N104)&lt;9,"待补充",IF(OR(MIN(F104:N104)&lt;0,L104&gt;1,M104&gt;1),"检查输入",ROUND(F104-SUM(H104:K104)-R104-S104,4))))</f>
        <v/>
      </c>
      <c r="U104" s="10">
        <f>IF(A104="","",IF(COUNT(O104:P104)&lt;2,"待补充",IF(MIN(O104:P104)&lt;0,"检查输入",SUM(O104:P104))))</f>
        <v/>
      </c>
      <c r="V104" s="9">
        <f>IF(A104="","",IF(OR(T104="检查输入",U104="检查输入"),"检查输入",IF(OR(NOT(ISNUMBER(T104)),NOT(ISNUMBER(U104))),"待补充",IF(T104&lt;=0,"不可保本",IFERROR(ROUNDUP(U104/T104,0),"检查输入")))))</f>
        <v/>
      </c>
      <c r="W104" s="10">
        <f>IF(A104="","",IF(OR(NOT(ISNUMBER(T104)),NOT(ISNUMBER(U104)),NOT(ISNUMBER(Q104))),"待补充",IF(OR(Q104&lt;0,Q104&lt;&gt;INT(Q104)),"检查输入",ROUND(Q104*T104-U104,4))))</f>
        <v/>
      </c>
    </row>
    <row r="105" spans="18:23" ht="34" customHeight="1">
      <c r="R105" s="10">
        <f>IF(A105="","",IF(COUNT(G105,L105)&lt;2,"待补充",IF(OR(G105&lt;0,L105&lt;0,L105&gt;1),"检查输入",G105*L105)))</f>
        <v/>
      </c>
      <c r="S105" s="10">
        <f>IF(A105="","",IF(COUNT(M105:N105)&lt;2,"待补充",IF(OR(M105&lt;0,M105&gt;1,N105&lt;0),"检查输入",M105*N105)))</f>
        <v/>
      </c>
      <c r="T105" s="10">
        <f>IF(A105="","",IF(COUNT(F105:N105)&lt;9,"待补充",IF(OR(MIN(F105:N105)&lt;0,L105&gt;1,M105&gt;1),"检查输入",ROUND(F105-SUM(H105:K105)-R105-S105,4))))</f>
        <v/>
      </c>
      <c r="U105" s="10">
        <f>IF(A105="","",IF(COUNT(O105:P105)&lt;2,"待补充",IF(MIN(O105:P105)&lt;0,"检查输入",SUM(O105:P105))))</f>
        <v/>
      </c>
      <c r="V105" s="9">
        <f>IF(A105="","",IF(OR(T105="检查输入",U105="检查输入"),"检查输入",IF(OR(NOT(ISNUMBER(T105)),NOT(ISNUMBER(U105))),"待补充",IF(T105&lt;=0,"不可保本",IFERROR(ROUNDUP(U105/T105,0),"检查输入")))))</f>
        <v/>
      </c>
      <c r="W105" s="10">
        <f>IF(A105="","",IF(OR(NOT(ISNUMBER(T105)),NOT(ISNUMBER(U105)),NOT(ISNUMBER(Q105))),"待补充",IF(OR(Q105&lt;0,Q105&lt;&gt;INT(Q105)),"检查输入",ROUND(Q105*T105-U105,4))))</f>
        <v/>
      </c>
    </row>
    <row r="106" spans="18:23" ht="34" customHeight="1">
      <c r="R106" s="10">
        <f>IF(A106="","",IF(COUNT(G106,L106)&lt;2,"待补充",IF(OR(G106&lt;0,L106&lt;0,L106&gt;1),"检查输入",G106*L106)))</f>
        <v/>
      </c>
      <c r="S106" s="10">
        <f>IF(A106="","",IF(COUNT(M106:N106)&lt;2,"待补充",IF(OR(M106&lt;0,M106&gt;1,N106&lt;0),"检查输入",M106*N106)))</f>
        <v/>
      </c>
      <c r="T106" s="10">
        <f>IF(A106="","",IF(COUNT(F106:N106)&lt;9,"待补充",IF(OR(MIN(F106:N106)&lt;0,L106&gt;1,M106&gt;1),"检查输入",ROUND(F106-SUM(H106:K106)-R106-S106,4))))</f>
        <v/>
      </c>
      <c r="U106" s="10">
        <f>IF(A106="","",IF(COUNT(O106:P106)&lt;2,"待补充",IF(MIN(O106:P106)&lt;0,"检查输入",SUM(O106:P106))))</f>
        <v/>
      </c>
      <c r="V106" s="9">
        <f>IF(A106="","",IF(OR(T106="检查输入",U106="检查输入"),"检查输入",IF(OR(NOT(ISNUMBER(T106)),NOT(ISNUMBER(U106))),"待补充",IF(T106&lt;=0,"不可保本",IFERROR(ROUNDUP(U106/T106,0),"检查输入")))))</f>
        <v/>
      </c>
      <c r="W106" s="10">
        <f>IF(A106="","",IF(OR(NOT(ISNUMBER(T106)),NOT(ISNUMBER(U106)),NOT(ISNUMBER(Q106))),"待补充",IF(OR(Q106&lt;0,Q106&lt;&gt;INT(Q106)),"检查输入",ROUND(Q106*T106-U106,4))))</f>
        <v/>
      </c>
    </row>
    <row r="107" spans="18:23" ht="34" customHeight="1">
      <c r="R107" s="10">
        <f>IF(A107="","",IF(COUNT(G107,L107)&lt;2,"待补充",IF(OR(G107&lt;0,L107&lt;0,L107&gt;1),"检查输入",G107*L107)))</f>
        <v/>
      </c>
      <c r="S107" s="10">
        <f>IF(A107="","",IF(COUNT(M107:N107)&lt;2,"待补充",IF(OR(M107&lt;0,M107&gt;1,N107&lt;0),"检查输入",M107*N107)))</f>
        <v/>
      </c>
      <c r="T107" s="10">
        <f>IF(A107="","",IF(COUNT(F107:N107)&lt;9,"待补充",IF(OR(MIN(F107:N107)&lt;0,L107&gt;1,M107&gt;1),"检查输入",ROUND(F107-SUM(H107:K107)-R107-S107,4))))</f>
        <v/>
      </c>
      <c r="U107" s="10">
        <f>IF(A107="","",IF(COUNT(O107:P107)&lt;2,"待补充",IF(MIN(O107:P107)&lt;0,"检查输入",SUM(O107:P107))))</f>
        <v/>
      </c>
      <c r="V107" s="9">
        <f>IF(A107="","",IF(OR(T107="检查输入",U107="检查输入"),"检查输入",IF(OR(NOT(ISNUMBER(T107)),NOT(ISNUMBER(U107))),"待补充",IF(T107&lt;=0,"不可保本",IFERROR(ROUNDUP(U107/T107,0),"检查输入")))))</f>
        <v/>
      </c>
      <c r="W107" s="10">
        <f>IF(A107="","",IF(OR(NOT(ISNUMBER(T107)),NOT(ISNUMBER(U107)),NOT(ISNUMBER(Q107))),"待补充",IF(OR(Q107&lt;0,Q107&lt;&gt;INT(Q107)),"检查输入",ROUND(Q107*T107-U107,4))))</f>
        <v/>
      </c>
    </row>
    <row r="108" spans="18:23" ht="34" customHeight="1">
      <c r="R108" s="10">
        <f>IF(A108="","",IF(COUNT(G108,L108)&lt;2,"待补充",IF(OR(G108&lt;0,L108&lt;0,L108&gt;1),"检查输入",G108*L108)))</f>
        <v/>
      </c>
      <c r="S108" s="10">
        <f>IF(A108="","",IF(COUNT(M108:N108)&lt;2,"待补充",IF(OR(M108&lt;0,M108&gt;1,N108&lt;0),"检查输入",M108*N108)))</f>
        <v/>
      </c>
      <c r="T108" s="10">
        <f>IF(A108="","",IF(COUNT(F108:N108)&lt;9,"待补充",IF(OR(MIN(F108:N108)&lt;0,L108&gt;1,M108&gt;1),"检查输入",ROUND(F108-SUM(H108:K108)-R108-S108,4))))</f>
        <v/>
      </c>
      <c r="U108" s="10">
        <f>IF(A108="","",IF(COUNT(O108:P108)&lt;2,"待补充",IF(MIN(O108:P108)&lt;0,"检查输入",SUM(O108:P108))))</f>
        <v/>
      </c>
      <c r="V108" s="9">
        <f>IF(A108="","",IF(OR(T108="检查输入",U108="检查输入"),"检查输入",IF(OR(NOT(ISNUMBER(T108)),NOT(ISNUMBER(U108))),"待补充",IF(T108&lt;=0,"不可保本",IFERROR(ROUNDUP(U108/T108,0),"检查输入")))))</f>
        <v/>
      </c>
      <c r="W108" s="10">
        <f>IF(A108="","",IF(OR(NOT(ISNUMBER(T108)),NOT(ISNUMBER(U108)),NOT(ISNUMBER(Q108))),"待补充",IF(OR(Q108&lt;0,Q108&lt;&gt;INT(Q108)),"检查输入",ROUND(Q108*T108-U108,4))))</f>
        <v/>
      </c>
    </row>
    <row r="109" spans="18:23" ht="34" customHeight="1">
      <c r="R109" s="10">
        <f>IF(A109="","",IF(COUNT(G109,L109)&lt;2,"待补充",IF(OR(G109&lt;0,L109&lt;0,L109&gt;1),"检查输入",G109*L109)))</f>
        <v/>
      </c>
      <c r="S109" s="10">
        <f>IF(A109="","",IF(COUNT(M109:N109)&lt;2,"待补充",IF(OR(M109&lt;0,M109&gt;1,N109&lt;0),"检查输入",M109*N109)))</f>
        <v/>
      </c>
      <c r="T109" s="10">
        <f>IF(A109="","",IF(COUNT(F109:N109)&lt;9,"待补充",IF(OR(MIN(F109:N109)&lt;0,L109&gt;1,M109&gt;1),"检查输入",ROUND(F109-SUM(H109:K109)-R109-S109,4))))</f>
        <v/>
      </c>
      <c r="U109" s="10">
        <f>IF(A109="","",IF(COUNT(O109:P109)&lt;2,"待补充",IF(MIN(O109:P109)&lt;0,"检查输入",SUM(O109:P109))))</f>
        <v/>
      </c>
      <c r="V109" s="9">
        <f>IF(A109="","",IF(OR(T109="检查输入",U109="检查输入"),"检查输入",IF(OR(NOT(ISNUMBER(T109)),NOT(ISNUMBER(U109))),"待补充",IF(T109&lt;=0,"不可保本",IFERROR(ROUNDUP(U109/T109,0),"检查输入")))))</f>
        <v/>
      </c>
      <c r="W109" s="10">
        <f>IF(A109="","",IF(OR(NOT(ISNUMBER(T109)),NOT(ISNUMBER(U109)),NOT(ISNUMBER(Q109))),"待补充",IF(OR(Q109&lt;0,Q109&lt;&gt;INT(Q109)),"检查输入",ROUND(Q109*T109-U109,4))))</f>
        <v/>
      </c>
    </row>
    <row r="110" spans="18:23" ht="34" customHeight="1">
      <c r="R110" s="10">
        <f>IF(A110="","",IF(COUNT(G110,L110)&lt;2,"待补充",IF(OR(G110&lt;0,L110&lt;0,L110&gt;1),"检查输入",G110*L110)))</f>
        <v/>
      </c>
      <c r="S110" s="10">
        <f>IF(A110="","",IF(COUNT(M110:N110)&lt;2,"待补充",IF(OR(M110&lt;0,M110&gt;1,N110&lt;0),"检查输入",M110*N110)))</f>
        <v/>
      </c>
      <c r="T110" s="10">
        <f>IF(A110="","",IF(COUNT(F110:N110)&lt;9,"待补充",IF(OR(MIN(F110:N110)&lt;0,L110&gt;1,M110&gt;1),"检查输入",ROUND(F110-SUM(H110:K110)-R110-S110,4))))</f>
        <v/>
      </c>
      <c r="U110" s="10">
        <f>IF(A110="","",IF(COUNT(O110:P110)&lt;2,"待补充",IF(MIN(O110:P110)&lt;0,"检查输入",SUM(O110:P110))))</f>
        <v/>
      </c>
      <c r="V110" s="9">
        <f>IF(A110="","",IF(OR(T110="检查输入",U110="检查输入"),"检查输入",IF(OR(NOT(ISNUMBER(T110)),NOT(ISNUMBER(U110))),"待补充",IF(T110&lt;=0,"不可保本",IFERROR(ROUNDUP(U110/T110,0),"检查输入")))))</f>
        <v/>
      </c>
      <c r="W110" s="10">
        <f>IF(A110="","",IF(OR(NOT(ISNUMBER(T110)),NOT(ISNUMBER(U110)),NOT(ISNUMBER(Q110))),"待补充",IF(OR(Q110&lt;0,Q110&lt;&gt;INT(Q110)),"检查输入",ROUND(Q110*T110-U110,4))))</f>
        <v/>
      </c>
    </row>
    <row r="111" spans="18:23" ht="34" customHeight="1">
      <c r="R111" s="10">
        <f>IF(A111="","",IF(COUNT(G111,L111)&lt;2,"待补充",IF(OR(G111&lt;0,L111&lt;0,L111&gt;1),"检查输入",G111*L111)))</f>
        <v/>
      </c>
      <c r="S111" s="10">
        <f>IF(A111="","",IF(COUNT(M111:N111)&lt;2,"待补充",IF(OR(M111&lt;0,M111&gt;1,N111&lt;0),"检查输入",M111*N111)))</f>
        <v/>
      </c>
      <c r="T111" s="10">
        <f>IF(A111="","",IF(COUNT(F111:N111)&lt;9,"待补充",IF(OR(MIN(F111:N111)&lt;0,L111&gt;1,M111&gt;1),"检查输入",ROUND(F111-SUM(H111:K111)-R111-S111,4))))</f>
        <v/>
      </c>
      <c r="U111" s="10">
        <f>IF(A111="","",IF(COUNT(O111:P111)&lt;2,"待补充",IF(MIN(O111:P111)&lt;0,"检查输入",SUM(O111:P111))))</f>
        <v/>
      </c>
      <c r="V111" s="9">
        <f>IF(A111="","",IF(OR(T111="检查输入",U111="检查输入"),"检查输入",IF(OR(NOT(ISNUMBER(T111)),NOT(ISNUMBER(U111))),"待补充",IF(T111&lt;=0,"不可保本",IFERROR(ROUNDUP(U111/T111,0),"检查输入")))))</f>
        <v/>
      </c>
      <c r="W111" s="10">
        <f>IF(A111="","",IF(OR(NOT(ISNUMBER(T111)),NOT(ISNUMBER(U111)),NOT(ISNUMBER(Q111))),"待补充",IF(OR(Q111&lt;0,Q111&lt;&gt;INT(Q111)),"检查输入",ROUND(Q111*T111-U111,4))))</f>
        <v/>
      </c>
    </row>
    <row r="112" spans="18:23" ht="34" customHeight="1">
      <c r="R112" s="10">
        <f>IF(A112="","",IF(COUNT(G112,L112)&lt;2,"待补充",IF(OR(G112&lt;0,L112&lt;0,L112&gt;1),"检查输入",G112*L112)))</f>
        <v/>
      </c>
      <c r="S112" s="10">
        <f>IF(A112="","",IF(COUNT(M112:N112)&lt;2,"待补充",IF(OR(M112&lt;0,M112&gt;1,N112&lt;0),"检查输入",M112*N112)))</f>
        <v/>
      </c>
      <c r="T112" s="10">
        <f>IF(A112="","",IF(COUNT(F112:N112)&lt;9,"待补充",IF(OR(MIN(F112:N112)&lt;0,L112&gt;1,M112&gt;1),"检查输入",ROUND(F112-SUM(H112:K112)-R112-S112,4))))</f>
        <v/>
      </c>
      <c r="U112" s="10">
        <f>IF(A112="","",IF(COUNT(O112:P112)&lt;2,"待补充",IF(MIN(O112:P112)&lt;0,"检查输入",SUM(O112:P112))))</f>
        <v/>
      </c>
      <c r="V112" s="9">
        <f>IF(A112="","",IF(OR(T112="检查输入",U112="检查输入"),"检查输入",IF(OR(NOT(ISNUMBER(T112)),NOT(ISNUMBER(U112))),"待补充",IF(T112&lt;=0,"不可保本",IFERROR(ROUNDUP(U112/T112,0),"检查输入")))))</f>
        <v/>
      </c>
      <c r="W112" s="10">
        <f>IF(A112="","",IF(OR(NOT(ISNUMBER(T112)),NOT(ISNUMBER(U112)),NOT(ISNUMBER(Q112))),"待补充",IF(OR(Q112&lt;0,Q112&lt;&gt;INT(Q112)),"检查输入",ROUND(Q112*T112-U112,4))))</f>
        <v/>
      </c>
    </row>
    <row r="113" spans="18:23" ht="34" customHeight="1">
      <c r="R113" s="10">
        <f>IF(A113="","",IF(COUNT(G113,L113)&lt;2,"待补充",IF(OR(G113&lt;0,L113&lt;0,L113&gt;1),"检查输入",G113*L113)))</f>
        <v/>
      </c>
      <c r="S113" s="10">
        <f>IF(A113="","",IF(COUNT(M113:N113)&lt;2,"待补充",IF(OR(M113&lt;0,M113&gt;1,N113&lt;0),"检查输入",M113*N113)))</f>
        <v/>
      </c>
      <c r="T113" s="10">
        <f>IF(A113="","",IF(COUNT(F113:N113)&lt;9,"待补充",IF(OR(MIN(F113:N113)&lt;0,L113&gt;1,M113&gt;1),"检查输入",ROUND(F113-SUM(H113:K113)-R113-S113,4))))</f>
        <v/>
      </c>
      <c r="U113" s="10">
        <f>IF(A113="","",IF(COUNT(O113:P113)&lt;2,"待补充",IF(MIN(O113:P113)&lt;0,"检查输入",SUM(O113:P113))))</f>
        <v/>
      </c>
      <c r="V113" s="9">
        <f>IF(A113="","",IF(OR(T113="检查输入",U113="检查输入"),"检查输入",IF(OR(NOT(ISNUMBER(T113)),NOT(ISNUMBER(U113))),"待补充",IF(T113&lt;=0,"不可保本",IFERROR(ROUNDUP(U113/T113,0),"检查输入")))))</f>
        <v/>
      </c>
      <c r="W113" s="10">
        <f>IF(A113="","",IF(OR(NOT(ISNUMBER(T113)),NOT(ISNUMBER(U113)),NOT(ISNUMBER(Q113))),"待补充",IF(OR(Q113&lt;0,Q113&lt;&gt;INT(Q113)),"检查输入",ROUND(Q113*T113-U113,4))))</f>
        <v/>
      </c>
    </row>
    <row r="114" spans="18:23" ht="34" customHeight="1">
      <c r="R114" s="10">
        <f>IF(A114="","",IF(COUNT(G114,L114)&lt;2,"待补充",IF(OR(G114&lt;0,L114&lt;0,L114&gt;1),"检查输入",G114*L114)))</f>
        <v/>
      </c>
      <c r="S114" s="10">
        <f>IF(A114="","",IF(COUNT(M114:N114)&lt;2,"待补充",IF(OR(M114&lt;0,M114&gt;1,N114&lt;0),"检查输入",M114*N114)))</f>
        <v/>
      </c>
      <c r="T114" s="10">
        <f>IF(A114="","",IF(COUNT(F114:N114)&lt;9,"待补充",IF(OR(MIN(F114:N114)&lt;0,L114&gt;1,M114&gt;1),"检查输入",ROUND(F114-SUM(H114:K114)-R114-S114,4))))</f>
        <v/>
      </c>
      <c r="U114" s="10">
        <f>IF(A114="","",IF(COUNT(O114:P114)&lt;2,"待补充",IF(MIN(O114:P114)&lt;0,"检查输入",SUM(O114:P114))))</f>
        <v/>
      </c>
      <c r="V114" s="9">
        <f>IF(A114="","",IF(OR(T114="检查输入",U114="检查输入"),"检查输入",IF(OR(NOT(ISNUMBER(T114)),NOT(ISNUMBER(U114))),"待补充",IF(T114&lt;=0,"不可保本",IFERROR(ROUNDUP(U114/T114,0),"检查输入")))))</f>
        <v/>
      </c>
      <c r="W114" s="10">
        <f>IF(A114="","",IF(OR(NOT(ISNUMBER(T114)),NOT(ISNUMBER(U114)),NOT(ISNUMBER(Q114))),"待补充",IF(OR(Q114&lt;0,Q114&lt;&gt;INT(Q114)),"检查输入",ROUND(Q114*T114-U114,4))))</f>
        <v/>
      </c>
    </row>
    <row r="115" spans="18:23" ht="34" customHeight="1">
      <c r="R115" s="10">
        <f>IF(A115="","",IF(COUNT(G115,L115)&lt;2,"待补充",IF(OR(G115&lt;0,L115&lt;0,L115&gt;1),"检查输入",G115*L115)))</f>
        <v/>
      </c>
      <c r="S115" s="10">
        <f>IF(A115="","",IF(COUNT(M115:N115)&lt;2,"待补充",IF(OR(M115&lt;0,M115&gt;1,N115&lt;0),"检查输入",M115*N115)))</f>
        <v/>
      </c>
      <c r="T115" s="10">
        <f>IF(A115="","",IF(COUNT(F115:N115)&lt;9,"待补充",IF(OR(MIN(F115:N115)&lt;0,L115&gt;1,M115&gt;1),"检查输入",ROUND(F115-SUM(H115:K115)-R115-S115,4))))</f>
        <v/>
      </c>
      <c r="U115" s="10">
        <f>IF(A115="","",IF(COUNT(O115:P115)&lt;2,"待补充",IF(MIN(O115:P115)&lt;0,"检查输入",SUM(O115:P115))))</f>
        <v/>
      </c>
      <c r="V115" s="9">
        <f>IF(A115="","",IF(OR(T115="检查输入",U115="检查输入"),"检查输入",IF(OR(NOT(ISNUMBER(T115)),NOT(ISNUMBER(U115))),"待补充",IF(T115&lt;=0,"不可保本",IFERROR(ROUNDUP(U115/T115,0),"检查输入")))))</f>
        <v/>
      </c>
      <c r="W115" s="10">
        <f>IF(A115="","",IF(OR(NOT(ISNUMBER(T115)),NOT(ISNUMBER(U115)),NOT(ISNUMBER(Q115))),"待补充",IF(OR(Q115&lt;0,Q115&lt;&gt;INT(Q115)),"检查输入",ROUND(Q115*T115-U115,4))))</f>
        <v/>
      </c>
    </row>
    <row r="116" spans="18:23" ht="34" customHeight="1">
      <c r="R116" s="10">
        <f>IF(A116="","",IF(COUNT(G116,L116)&lt;2,"待补充",IF(OR(G116&lt;0,L116&lt;0,L116&gt;1),"检查输入",G116*L116)))</f>
        <v/>
      </c>
      <c r="S116" s="10">
        <f>IF(A116="","",IF(COUNT(M116:N116)&lt;2,"待补充",IF(OR(M116&lt;0,M116&gt;1,N116&lt;0),"检查输入",M116*N116)))</f>
        <v/>
      </c>
      <c r="T116" s="10">
        <f>IF(A116="","",IF(COUNT(F116:N116)&lt;9,"待补充",IF(OR(MIN(F116:N116)&lt;0,L116&gt;1,M116&gt;1),"检查输入",ROUND(F116-SUM(H116:K116)-R116-S116,4))))</f>
        <v/>
      </c>
      <c r="U116" s="10">
        <f>IF(A116="","",IF(COUNT(O116:P116)&lt;2,"待补充",IF(MIN(O116:P116)&lt;0,"检查输入",SUM(O116:P116))))</f>
        <v/>
      </c>
      <c r="V116" s="9">
        <f>IF(A116="","",IF(OR(T116="检查输入",U116="检查输入"),"检查输入",IF(OR(NOT(ISNUMBER(T116)),NOT(ISNUMBER(U116))),"待补充",IF(T116&lt;=0,"不可保本",IFERROR(ROUNDUP(U116/T116,0),"检查输入")))))</f>
        <v/>
      </c>
      <c r="W116" s="10">
        <f>IF(A116="","",IF(OR(NOT(ISNUMBER(T116)),NOT(ISNUMBER(U116)),NOT(ISNUMBER(Q116))),"待补充",IF(OR(Q116&lt;0,Q116&lt;&gt;INT(Q116)),"检查输入",ROUND(Q116*T116-U116,4))))</f>
        <v/>
      </c>
    </row>
    <row r="117" spans="18:23" ht="34" customHeight="1">
      <c r="R117" s="10">
        <f>IF(A117="","",IF(COUNT(G117,L117)&lt;2,"待补充",IF(OR(G117&lt;0,L117&lt;0,L117&gt;1),"检查输入",G117*L117)))</f>
        <v/>
      </c>
      <c r="S117" s="10">
        <f>IF(A117="","",IF(COUNT(M117:N117)&lt;2,"待补充",IF(OR(M117&lt;0,M117&gt;1,N117&lt;0),"检查输入",M117*N117)))</f>
        <v/>
      </c>
      <c r="T117" s="10">
        <f>IF(A117="","",IF(COUNT(F117:N117)&lt;9,"待补充",IF(OR(MIN(F117:N117)&lt;0,L117&gt;1,M117&gt;1),"检查输入",ROUND(F117-SUM(H117:K117)-R117-S117,4))))</f>
        <v/>
      </c>
      <c r="U117" s="10">
        <f>IF(A117="","",IF(COUNT(O117:P117)&lt;2,"待补充",IF(MIN(O117:P117)&lt;0,"检查输入",SUM(O117:P117))))</f>
        <v/>
      </c>
      <c r="V117" s="9">
        <f>IF(A117="","",IF(OR(T117="检查输入",U117="检查输入"),"检查输入",IF(OR(NOT(ISNUMBER(T117)),NOT(ISNUMBER(U117))),"待补充",IF(T117&lt;=0,"不可保本",IFERROR(ROUNDUP(U117/T117,0),"检查输入")))))</f>
        <v/>
      </c>
      <c r="W117" s="10">
        <f>IF(A117="","",IF(OR(NOT(ISNUMBER(T117)),NOT(ISNUMBER(U117)),NOT(ISNUMBER(Q117))),"待补充",IF(OR(Q117&lt;0,Q117&lt;&gt;INT(Q117)),"检查输入",ROUND(Q117*T117-U117,4))))</f>
        <v/>
      </c>
    </row>
    <row r="118" spans="18:23" ht="34" customHeight="1">
      <c r="R118" s="10">
        <f>IF(A118="","",IF(COUNT(G118,L118)&lt;2,"待补充",IF(OR(G118&lt;0,L118&lt;0,L118&gt;1),"检查输入",G118*L118)))</f>
        <v/>
      </c>
      <c r="S118" s="10">
        <f>IF(A118="","",IF(COUNT(M118:N118)&lt;2,"待补充",IF(OR(M118&lt;0,M118&gt;1,N118&lt;0),"检查输入",M118*N118)))</f>
        <v/>
      </c>
      <c r="T118" s="10">
        <f>IF(A118="","",IF(COUNT(F118:N118)&lt;9,"待补充",IF(OR(MIN(F118:N118)&lt;0,L118&gt;1,M118&gt;1),"检查输入",ROUND(F118-SUM(H118:K118)-R118-S118,4))))</f>
        <v/>
      </c>
      <c r="U118" s="10">
        <f>IF(A118="","",IF(COUNT(O118:P118)&lt;2,"待补充",IF(MIN(O118:P118)&lt;0,"检查输入",SUM(O118:P118))))</f>
        <v/>
      </c>
      <c r="V118" s="9">
        <f>IF(A118="","",IF(OR(T118="检查输入",U118="检查输入"),"检查输入",IF(OR(NOT(ISNUMBER(T118)),NOT(ISNUMBER(U118))),"待补充",IF(T118&lt;=0,"不可保本",IFERROR(ROUNDUP(U118/T118,0),"检查输入")))))</f>
        <v/>
      </c>
      <c r="W118" s="10">
        <f>IF(A118="","",IF(OR(NOT(ISNUMBER(T118)),NOT(ISNUMBER(U118)),NOT(ISNUMBER(Q118))),"待补充",IF(OR(Q118&lt;0,Q118&lt;&gt;INT(Q118)),"检查输入",ROUND(Q118*T118-U118,4))))</f>
        <v/>
      </c>
    </row>
    <row r="119" spans="18:23" ht="34" customHeight="1">
      <c r="R119" s="10">
        <f>IF(A119="","",IF(COUNT(G119,L119)&lt;2,"待补充",IF(OR(G119&lt;0,L119&lt;0,L119&gt;1),"检查输入",G119*L119)))</f>
        <v/>
      </c>
      <c r="S119" s="10">
        <f>IF(A119="","",IF(COUNT(M119:N119)&lt;2,"待补充",IF(OR(M119&lt;0,M119&gt;1,N119&lt;0),"检查输入",M119*N119)))</f>
        <v/>
      </c>
      <c r="T119" s="10">
        <f>IF(A119="","",IF(COUNT(F119:N119)&lt;9,"待补充",IF(OR(MIN(F119:N119)&lt;0,L119&gt;1,M119&gt;1),"检查输入",ROUND(F119-SUM(H119:K119)-R119-S119,4))))</f>
        <v/>
      </c>
      <c r="U119" s="10">
        <f>IF(A119="","",IF(COUNT(O119:P119)&lt;2,"待补充",IF(MIN(O119:P119)&lt;0,"检查输入",SUM(O119:P119))))</f>
        <v/>
      </c>
      <c r="V119" s="9">
        <f>IF(A119="","",IF(OR(T119="检查输入",U119="检查输入"),"检查输入",IF(OR(NOT(ISNUMBER(T119)),NOT(ISNUMBER(U119))),"待补充",IF(T119&lt;=0,"不可保本",IFERROR(ROUNDUP(U119/T119,0),"检查输入")))))</f>
        <v/>
      </c>
      <c r="W119" s="10">
        <f>IF(A119="","",IF(OR(NOT(ISNUMBER(T119)),NOT(ISNUMBER(U119)),NOT(ISNUMBER(Q119))),"待补充",IF(OR(Q119&lt;0,Q119&lt;&gt;INT(Q119)),"检查输入",ROUND(Q119*T119-U119,4))))</f>
        <v/>
      </c>
    </row>
    <row r="120" spans="18:23" ht="34" customHeight="1">
      <c r="R120" s="10">
        <f>IF(A120="","",IF(COUNT(G120,L120)&lt;2,"待补充",IF(OR(G120&lt;0,L120&lt;0,L120&gt;1),"检查输入",G120*L120)))</f>
        <v/>
      </c>
      <c r="S120" s="10">
        <f>IF(A120="","",IF(COUNT(M120:N120)&lt;2,"待补充",IF(OR(M120&lt;0,M120&gt;1,N120&lt;0),"检查输入",M120*N120)))</f>
        <v/>
      </c>
      <c r="T120" s="10">
        <f>IF(A120="","",IF(COUNT(F120:N120)&lt;9,"待补充",IF(OR(MIN(F120:N120)&lt;0,L120&gt;1,M120&gt;1),"检查输入",ROUND(F120-SUM(H120:K120)-R120-S120,4))))</f>
        <v/>
      </c>
      <c r="U120" s="10">
        <f>IF(A120="","",IF(COUNT(O120:P120)&lt;2,"待补充",IF(MIN(O120:P120)&lt;0,"检查输入",SUM(O120:P120))))</f>
        <v/>
      </c>
      <c r="V120" s="9">
        <f>IF(A120="","",IF(OR(T120="检查输入",U120="检查输入"),"检查输入",IF(OR(NOT(ISNUMBER(T120)),NOT(ISNUMBER(U120))),"待补充",IF(T120&lt;=0,"不可保本",IFERROR(ROUNDUP(U120/T120,0),"检查输入")))))</f>
        <v/>
      </c>
      <c r="W120" s="10">
        <f>IF(A120="","",IF(OR(NOT(ISNUMBER(T120)),NOT(ISNUMBER(U120)),NOT(ISNUMBER(Q120))),"待补充",IF(OR(Q120&lt;0,Q120&lt;&gt;INT(Q120)),"检查输入",ROUND(Q120*T120-U120,4))))</f>
        <v/>
      </c>
    </row>
    <row r="121" spans="18:23" ht="34" customHeight="1">
      <c r="R121" s="10">
        <f>IF(A121="","",IF(COUNT(G121,L121)&lt;2,"待补充",IF(OR(G121&lt;0,L121&lt;0,L121&gt;1),"检查输入",G121*L121)))</f>
        <v/>
      </c>
      <c r="S121" s="10">
        <f>IF(A121="","",IF(COUNT(M121:N121)&lt;2,"待补充",IF(OR(M121&lt;0,M121&gt;1,N121&lt;0),"检查输入",M121*N121)))</f>
        <v/>
      </c>
      <c r="T121" s="10">
        <f>IF(A121="","",IF(COUNT(F121:N121)&lt;9,"待补充",IF(OR(MIN(F121:N121)&lt;0,L121&gt;1,M121&gt;1),"检查输入",ROUND(F121-SUM(H121:K121)-R121-S121,4))))</f>
        <v/>
      </c>
      <c r="U121" s="10">
        <f>IF(A121="","",IF(COUNT(O121:P121)&lt;2,"待补充",IF(MIN(O121:P121)&lt;0,"检查输入",SUM(O121:P121))))</f>
        <v/>
      </c>
      <c r="V121" s="9">
        <f>IF(A121="","",IF(OR(T121="检查输入",U121="检查输入"),"检查输入",IF(OR(NOT(ISNUMBER(T121)),NOT(ISNUMBER(U121))),"待补充",IF(T121&lt;=0,"不可保本",IFERROR(ROUNDUP(U121/T121,0),"检查输入")))))</f>
        <v/>
      </c>
      <c r="W121" s="10">
        <f>IF(A121="","",IF(OR(NOT(ISNUMBER(T121)),NOT(ISNUMBER(U121)),NOT(ISNUMBER(Q121))),"待补充",IF(OR(Q121&lt;0,Q121&lt;&gt;INT(Q121)),"检查输入",ROUND(Q121*T121-U121,4))))</f>
        <v/>
      </c>
    </row>
    <row r="122" spans="18:23" ht="34" customHeight="1">
      <c r="R122" s="10">
        <f>IF(A122="","",IF(COUNT(G122,L122)&lt;2,"待补充",IF(OR(G122&lt;0,L122&lt;0,L122&gt;1),"检查输入",G122*L122)))</f>
        <v/>
      </c>
      <c r="S122" s="10">
        <f>IF(A122="","",IF(COUNT(M122:N122)&lt;2,"待补充",IF(OR(M122&lt;0,M122&gt;1,N122&lt;0),"检查输入",M122*N122)))</f>
        <v/>
      </c>
      <c r="T122" s="10">
        <f>IF(A122="","",IF(COUNT(F122:N122)&lt;9,"待补充",IF(OR(MIN(F122:N122)&lt;0,L122&gt;1,M122&gt;1),"检查输入",ROUND(F122-SUM(H122:K122)-R122-S122,4))))</f>
        <v/>
      </c>
      <c r="U122" s="10">
        <f>IF(A122="","",IF(COUNT(O122:P122)&lt;2,"待补充",IF(MIN(O122:P122)&lt;0,"检查输入",SUM(O122:P122))))</f>
        <v/>
      </c>
      <c r="V122" s="9">
        <f>IF(A122="","",IF(OR(T122="检查输入",U122="检查输入"),"检查输入",IF(OR(NOT(ISNUMBER(T122)),NOT(ISNUMBER(U122))),"待补充",IF(T122&lt;=0,"不可保本",IFERROR(ROUNDUP(U122/T122,0),"检查输入")))))</f>
        <v/>
      </c>
      <c r="W122" s="10">
        <f>IF(A122="","",IF(OR(NOT(ISNUMBER(T122)),NOT(ISNUMBER(U122)),NOT(ISNUMBER(Q122))),"待补充",IF(OR(Q122&lt;0,Q122&lt;&gt;INT(Q122)),"检查输入",ROUND(Q122*T122-U122,4))))</f>
        <v/>
      </c>
    </row>
    <row r="123" spans="18:23" ht="34" customHeight="1">
      <c r="R123" s="10">
        <f>IF(A123="","",IF(COUNT(G123,L123)&lt;2,"待补充",IF(OR(G123&lt;0,L123&lt;0,L123&gt;1),"检查输入",G123*L123)))</f>
        <v/>
      </c>
      <c r="S123" s="10">
        <f>IF(A123="","",IF(COUNT(M123:N123)&lt;2,"待补充",IF(OR(M123&lt;0,M123&gt;1,N123&lt;0),"检查输入",M123*N123)))</f>
        <v/>
      </c>
      <c r="T123" s="10">
        <f>IF(A123="","",IF(COUNT(F123:N123)&lt;9,"待补充",IF(OR(MIN(F123:N123)&lt;0,L123&gt;1,M123&gt;1),"检查输入",ROUND(F123-SUM(H123:K123)-R123-S123,4))))</f>
        <v/>
      </c>
      <c r="U123" s="10">
        <f>IF(A123="","",IF(COUNT(O123:P123)&lt;2,"待补充",IF(MIN(O123:P123)&lt;0,"检查输入",SUM(O123:P123))))</f>
        <v/>
      </c>
      <c r="V123" s="9">
        <f>IF(A123="","",IF(OR(T123="检查输入",U123="检查输入"),"检查输入",IF(OR(NOT(ISNUMBER(T123)),NOT(ISNUMBER(U123))),"待补充",IF(T123&lt;=0,"不可保本",IFERROR(ROUNDUP(U123/T123,0),"检查输入")))))</f>
        <v/>
      </c>
      <c r="W123" s="10">
        <f>IF(A123="","",IF(OR(NOT(ISNUMBER(T123)),NOT(ISNUMBER(U123)),NOT(ISNUMBER(Q123))),"待补充",IF(OR(Q123&lt;0,Q123&lt;&gt;INT(Q123)),"检查输入",ROUND(Q123*T123-U123,4))))</f>
        <v/>
      </c>
    </row>
    <row r="124" spans="18:23" ht="34" customHeight="1">
      <c r="R124" s="10">
        <f>IF(A124="","",IF(COUNT(G124,L124)&lt;2,"待补充",IF(OR(G124&lt;0,L124&lt;0,L124&gt;1),"检查输入",G124*L124)))</f>
        <v/>
      </c>
      <c r="S124" s="10">
        <f>IF(A124="","",IF(COUNT(M124:N124)&lt;2,"待补充",IF(OR(M124&lt;0,M124&gt;1,N124&lt;0),"检查输入",M124*N124)))</f>
        <v/>
      </c>
      <c r="T124" s="10">
        <f>IF(A124="","",IF(COUNT(F124:N124)&lt;9,"待补充",IF(OR(MIN(F124:N124)&lt;0,L124&gt;1,M124&gt;1),"检查输入",ROUND(F124-SUM(H124:K124)-R124-S124,4))))</f>
        <v/>
      </c>
      <c r="U124" s="10">
        <f>IF(A124="","",IF(COUNT(O124:P124)&lt;2,"待补充",IF(MIN(O124:P124)&lt;0,"检查输入",SUM(O124:P124))))</f>
        <v/>
      </c>
      <c r="V124" s="9">
        <f>IF(A124="","",IF(OR(T124="检查输入",U124="检查输入"),"检查输入",IF(OR(NOT(ISNUMBER(T124)),NOT(ISNUMBER(U124))),"待补充",IF(T124&lt;=0,"不可保本",IFERROR(ROUNDUP(U124/T124,0),"检查输入")))))</f>
        <v/>
      </c>
      <c r="W124" s="10">
        <f>IF(A124="","",IF(OR(NOT(ISNUMBER(T124)),NOT(ISNUMBER(U124)),NOT(ISNUMBER(Q124))),"待补充",IF(OR(Q124&lt;0,Q124&lt;&gt;INT(Q124)),"检查输入",ROUND(Q124*T124-U124,4))))</f>
        <v/>
      </c>
    </row>
    <row r="125" spans="18:23" ht="34" customHeight="1">
      <c r="R125" s="10">
        <f>IF(A125="","",IF(COUNT(G125,L125)&lt;2,"待补充",IF(OR(G125&lt;0,L125&lt;0,L125&gt;1),"检查输入",G125*L125)))</f>
        <v/>
      </c>
      <c r="S125" s="10">
        <f>IF(A125="","",IF(COUNT(M125:N125)&lt;2,"待补充",IF(OR(M125&lt;0,M125&gt;1,N125&lt;0),"检查输入",M125*N125)))</f>
        <v/>
      </c>
      <c r="T125" s="10">
        <f>IF(A125="","",IF(COUNT(F125:N125)&lt;9,"待补充",IF(OR(MIN(F125:N125)&lt;0,L125&gt;1,M125&gt;1),"检查输入",ROUND(F125-SUM(H125:K125)-R125-S125,4))))</f>
        <v/>
      </c>
      <c r="U125" s="10">
        <f>IF(A125="","",IF(COUNT(O125:P125)&lt;2,"待补充",IF(MIN(O125:P125)&lt;0,"检查输入",SUM(O125:P125))))</f>
        <v/>
      </c>
      <c r="V125" s="9">
        <f>IF(A125="","",IF(OR(T125="检查输入",U125="检查输入"),"检查输入",IF(OR(NOT(ISNUMBER(T125)),NOT(ISNUMBER(U125))),"待补充",IF(T125&lt;=0,"不可保本",IFERROR(ROUNDUP(U125/T125,0),"检查输入")))))</f>
        <v/>
      </c>
      <c r="W125" s="10">
        <f>IF(A125="","",IF(OR(NOT(ISNUMBER(T125)),NOT(ISNUMBER(U125)),NOT(ISNUMBER(Q125))),"待补充",IF(OR(Q125&lt;0,Q125&lt;&gt;INT(Q125)),"检查输入",ROUND(Q125*T125-U125,4))))</f>
        <v/>
      </c>
    </row>
    <row r="126" spans="18:23" ht="34" customHeight="1">
      <c r="R126" s="10">
        <f>IF(A126="","",IF(COUNT(G126,L126)&lt;2,"待补充",IF(OR(G126&lt;0,L126&lt;0,L126&gt;1),"检查输入",G126*L126)))</f>
        <v/>
      </c>
      <c r="S126" s="10">
        <f>IF(A126="","",IF(COUNT(M126:N126)&lt;2,"待补充",IF(OR(M126&lt;0,M126&gt;1,N126&lt;0),"检查输入",M126*N126)))</f>
        <v/>
      </c>
      <c r="T126" s="10">
        <f>IF(A126="","",IF(COUNT(F126:N126)&lt;9,"待补充",IF(OR(MIN(F126:N126)&lt;0,L126&gt;1,M126&gt;1),"检查输入",ROUND(F126-SUM(H126:K126)-R126-S126,4))))</f>
        <v/>
      </c>
      <c r="U126" s="10">
        <f>IF(A126="","",IF(COUNT(O126:P126)&lt;2,"待补充",IF(MIN(O126:P126)&lt;0,"检查输入",SUM(O126:P126))))</f>
        <v/>
      </c>
      <c r="V126" s="9">
        <f>IF(A126="","",IF(OR(T126="检查输入",U126="检查输入"),"检查输入",IF(OR(NOT(ISNUMBER(T126)),NOT(ISNUMBER(U126))),"待补充",IF(T126&lt;=0,"不可保本",IFERROR(ROUNDUP(U126/T126,0),"检查输入")))))</f>
        <v/>
      </c>
      <c r="W126" s="10">
        <f>IF(A126="","",IF(OR(NOT(ISNUMBER(T126)),NOT(ISNUMBER(U126)),NOT(ISNUMBER(Q126))),"待补充",IF(OR(Q126&lt;0,Q126&lt;&gt;INT(Q126)),"检查输入",ROUND(Q126*T126-U126,4))))</f>
        <v/>
      </c>
    </row>
    <row r="127" spans="18:23" ht="34" customHeight="1">
      <c r="R127" s="10">
        <f>IF(A127="","",IF(COUNT(G127,L127)&lt;2,"待补充",IF(OR(G127&lt;0,L127&lt;0,L127&gt;1),"检查输入",G127*L127)))</f>
        <v/>
      </c>
      <c r="S127" s="10">
        <f>IF(A127="","",IF(COUNT(M127:N127)&lt;2,"待补充",IF(OR(M127&lt;0,M127&gt;1,N127&lt;0),"检查输入",M127*N127)))</f>
        <v/>
      </c>
      <c r="T127" s="10">
        <f>IF(A127="","",IF(COUNT(F127:N127)&lt;9,"待补充",IF(OR(MIN(F127:N127)&lt;0,L127&gt;1,M127&gt;1),"检查输入",ROUND(F127-SUM(H127:K127)-R127-S127,4))))</f>
        <v/>
      </c>
      <c r="U127" s="10">
        <f>IF(A127="","",IF(COUNT(O127:P127)&lt;2,"待补充",IF(MIN(O127:P127)&lt;0,"检查输入",SUM(O127:P127))))</f>
        <v/>
      </c>
      <c r="V127" s="9">
        <f>IF(A127="","",IF(OR(T127="检查输入",U127="检查输入"),"检查输入",IF(OR(NOT(ISNUMBER(T127)),NOT(ISNUMBER(U127))),"待补充",IF(T127&lt;=0,"不可保本",IFERROR(ROUNDUP(U127/T127,0),"检查输入")))))</f>
        <v/>
      </c>
      <c r="W127" s="10">
        <f>IF(A127="","",IF(OR(NOT(ISNUMBER(T127)),NOT(ISNUMBER(U127)),NOT(ISNUMBER(Q127))),"待补充",IF(OR(Q127&lt;0,Q127&lt;&gt;INT(Q127)),"检查输入",ROUND(Q127*T127-U127,4))))</f>
        <v/>
      </c>
    </row>
    <row r="128" spans="18:23" ht="34" customHeight="1">
      <c r="R128" s="10">
        <f>IF(A128="","",IF(COUNT(G128,L128)&lt;2,"待补充",IF(OR(G128&lt;0,L128&lt;0,L128&gt;1),"检查输入",G128*L128)))</f>
        <v/>
      </c>
      <c r="S128" s="10">
        <f>IF(A128="","",IF(COUNT(M128:N128)&lt;2,"待补充",IF(OR(M128&lt;0,M128&gt;1,N128&lt;0),"检查输入",M128*N128)))</f>
        <v/>
      </c>
      <c r="T128" s="10">
        <f>IF(A128="","",IF(COUNT(F128:N128)&lt;9,"待补充",IF(OR(MIN(F128:N128)&lt;0,L128&gt;1,M128&gt;1),"检查输入",ROUND(F128-SUM(H128:K128)-R128-S128,4))))</f>
        <v/>
      </c>
      <c r="U128" s="10">
        <f>IF(A128="","",IF(COUNT(O128:P128)&lt;2,"待补充",IF(MIN(O128:P128)&lt;0,"检查输入",SUM(O128:P128))))</f>
        <v/>
      </c>
      <c r="V128" s="9">
        <f>IF(A128="","",IF(OR(T128="检查输入",U128="检查输入"),"检查输入",IF(OR(NOT(ISNUMBER(T128)),NOT(ISNUMBER(U128))),"待补充",IF(T128&lt;=0,"不可保本",IFERROR(ROUNDUP(U128/T128,0),"检查输入")))))</f>
        <v/>
      </c>
      <c r="W128" s="10">
        <f>IF(A128="","",IF(OR(NOT(ISNUMBER(T128)),NOT(ISNUMBER(U128)),NOT(ISNUMBER(Q128))),"待补充",IF(OR(Q128&lt;0,Q128&lt;&gt;INT(Q128)),"检查输入",ROUND(Q128*T128-U128,4))))</f>
        <v/>
      </c>
    </row>
    <row r="129" spans="18:23" ht="34" customHeight="1">
      <c r="R129" s="10">
        <f>IF(A129="","",IF(COUNT(G129,L129)&lt;2,"待补充",IF(OR(G129&lt;0,L129&lt;0,L129&gt;1),"检查输入",G129*L129)))</f>
        <v/>
      </c>
      <c r="S129" s="10">
        <f>IF(A129="","",IF(COUNT(M129:N129)&lt;2,"待补充",IF(OR(M129&lt;0,M129&gt;1,N129&lt;0),"检查输入",M129*N129)))</f>
        <v/>
      </c>
      <c r="T129" s="10">
        <f>IF(A129="","",IF(COUNT(F129:N129)&lt;9,"待补充",IF(OR(MIN(F129:N129)&lt;0,L129&gt;1,M129&gt;1),"检查输入",ROUND(F129-SUM(H129:K129)-R129-S129,4))))</f>
        <v/>
      </c>
      <c r="U129" s="10">
        <f>IF(A129="","",IF(COUNT(O129:P129)&lt;2,"待补充",IF(MIN(O129:P129)&lt;0,"检查输入",SUM(O129:P129))))</f>
        <v/>
      </c>
      <c r="V129" s="9">
        <f>IF(A129="","",IF(OR(T129="检查输入",U129="检查输入"),"检查输入",IF(OR(NOT(ISNUMBER(T129)),NOT(ISNUMBER(U129))),"待补充",IF(T129&lt;=0,"不可保本",IFERROR(ROUNDUP(U129/T129,0),"检查输入")))))</f>
        <v/>
      </c>
      <c r="W129" s="10">
        <f>IF(A129="","",IF(OR(NOT(ISNUMBER(T129)),NOT(ISNUMBER(U129)),NOT(ISNUMBER(Q129))),"待补充",IF(OR(Q129&lt;0,Q129&lt;&gt;INT(Q129)),"检查输入",ROUND(Q129*T129-U129,4))))</f>
        <v/>
      </c>
    </row>
    <row r="130" spans="18:23" ht="34" customHeight="1">
      <c r="R130" s="10">
        <f>IF(A130="","",IF(COUNT(G130,L130)&lt;2,"待补充",IF(OR(G130&lt;0,L130&lt;0,L130&gt;1),"检查输入",G130*L130)))</f>
        <v/>
      </c>
      <c r="S130" s="10">
        <f>IF(A130="","",IF(COUNT(M130:N130)&lt;2,"待补充",IF(OR(M130&lt;0,M130&gt;1,N130&lt;0),"检查输入",M130*N130)))</f>
        <v/>
      </c>
      <c r="T130" s="10">
        <f>IF(A130="","",IF(COUNT(F130:N130)&lt;9,"待补充",IF(OR(MIN(F130:N130)&lt;0,L130&gt;1,M130&gt;1),"检查输入",ROUND(F130-SUM(H130:K130)-R130-S130,4))))</f>
        <v/>
      </c>
      <c r="U130" s="10">
        <f>IF(A130="","",IF(COUNT(O130:P130)&lt;2,"待补充",IF(MIN(O130:P130)&lt;0,"检查输入",SUM(O130:P130))))</f>
        <v/>
      </c>
      <c r="V130" s="9">
        <f>IF(A130="","",IF(OR(T130="检查输入",U130="检查输入"),"检查输入",IF(OR(NOT(ISNUMBER(T130)),NOT(ISNUMBER(U130))),"待补充",IF(T130&lt;=0,"不可保本",IFERROR(ROUNDUP(U130/T130,0),"检查输入")))))</f>
        <v/>
      </c>
      <c r="W130" s="10">
        <f>IF(A130="","",IF(OR(NOT(ISNUMBER(T130)),NOT(ISNUMBER(U130)),NOT(ISNUMBER(Q130))),"待补充",IF(OR(Q130&lt;0,Q130&lt;&gt;INT(Q130)),"检查输入",ROUND(Q130*T130-U130,4))))</f>
        <v/>
      </c>
    </row>
    <row r="131" spans="18:23" ht="34" customHeight="1">
      <c r="R131" s="10">
        <f>IF(A131="","",IF(COUNT(G131,L131)&lt;2,"待补充",IF(OR(G131&lt;0,L131&lt;0,L131&gt;1),"检查输入",G131*L131)))</f>
        <v/>
      </c>
      <c r="S131" s="10">
        <f>IF(A131="","",IF(COUNT(M131:N131)&lt;2,"待补充",IF(OR(M131&lt;0,M131&gt;1,N131&lt;0),"检查输入",M131*N131)))</f>
        <v/>
      </c>
      <c r="T131" s="10">
        <f>IF(A131="","",IF(COUNT(F131:N131)&lt;9,"待补充",IF(OR(MIN(F131:N131)&lt;0,L131&gt;1,M131&gt;1),"检查输入",ROUND(F131-SUM(H131:K131)-R131-S131,4))))</f>
        <v/>
      </c>
      <c r="U131" s="10">
        <f>IF(A131="","",IF(COUNT(O131:P131)&lt;2,"待补充",IF(MIN(O131:P131)&lt;0,"检查输入",SUM(O131:P131))))</f>
        <v/>
      </c>
      <c r="V131" s="9">
        <f>IF(A131="","",IF(OR(T131="检查输入",U131="检查输入"),"检查输入",IF(OR(NOT(ISNUMBER(T131)),NOT(ISNUMBER(U131))),"待补充",IF(T131&lt;=0,"不可保本",IFERROR(ROUNDUP(U131/T131,0),"检查输入")))))</f>
        <v/>
      </c>
      <c r="W131" s="10">
        <f>IF(A131="","",IF(OR(NOT(ISNUMBER(T131)),NOT(ISNUMBER(U131)),NOT(ISNUMBER(Q131))),"待补充",IF(OR(Q131&lt;0,Q131&lt;&gt;INT(Q131)),"检查输入",ROUND(Q131*T131-U131,4))))</f>
        <v/>
      </c>
    </row>
    <row r="132" spans="18:23" ht="34" customHeight="1">
      <c r="R132" s="10">
        <f>IF(A132="","",IF(COUNT(G132,L132)&lt;2,"待补充",IF(OR(G132&lt;0,L132&lt;0,L132&gt;1),"检查输入",G132*L132)))</f>
        <v/>
      </c>
      <c r="S132" s="10">
        <f>IF(A132="","",IF(COUNT(M132:N132)&lt;2,"待补充",IF(OR(M132&lt;0,M132&gt;1,N132&lt;0),"检查输入",M132*N132)))</f>
        <v/>
      </c>
      <c r="T132" s="10">
        <f>IF(A132="","",IF(COUNT(F132:N132)&lt;9,"待补充",IF(OR(MIN(F132:N132)&lt;0,L132&gt;1,M132&gt;1),"检查输入",ROUND(F132-SUM(H132:K132)-R132-S132,4))))</f>
        <v/>
      </c>
      <c r="U132" s="10">
        <f>IF(A132="","",IF(COUNT(O132:P132)&lt;2,"待补充",IF(MIN(O132:P132)&lt;0,"检查输入",SUM(O132:P132))))</f>
        <v/>
      </c>
      <c r="V132" s="9">
        <f>IF(A132="","",IF(OR(T132="检查输入",U132="检查输入"),"检查输入",IF(OR(NOT(ISNUMBER(T132)),NOT(ISNUMBER(U132))),"待补充",IF(T132&lt;=0,"不可保本",IFERROR(ROUNDUP(U132/T132,0),"检查输入")))))</f>
        <v/>
      </c>
      <c r="W132" s="10">
        <f>IF(A132="","",IF(OR(NOT(ISNUMBER(T132)),NOT(ISNUMBER(U132)),NOT(ISNUMBER(Q132))),"待补充",IF(OR(Q132&lt;0,Q132&lt;&gt;INT(Q132)),"检查输入",ROUND(Q132*T132-U132,4))))</f>
        <v/>
      </c>
    </row>
    <row r="133" spans="18:23" ht="34" customHeight="1">
      <c r="R133" s="10">
        <f>IF(A133="","",IF(COUNT(G133,L133)&lt;2,"待补充",IF(OR(G133&lt;0,L133&lt;0,L133&gt;1),"检查输入",G133*L133)))</f>
        <v/>
      </c>
      <c r="S133" s="10">
        <f>IF(A133="","",IF(COUNT(M133:N133)&lt;2,"待补充",IF(OR(M133&lt;0,M133&gt;1,N133&lt;0),"检查输入",M133*N133)))</f>
        <v/>
      </c>
      <c r="T133" s="10">
        <f>IF(A133="","",IF(COUNT(F133:N133)&lt;9,"待补充",IF(OR(MIN(F133:N133)&lt;0,L133&gt;1,M133&gt;1),"检查输入",ROUND(F133-SUM(H133:K133)-R133-S133,4))))</f>
        <v/>
      </c>
      <c r="U133" s="10">
        <f>IF(A133="","",IF(COUNT(O133:P133)&lt;2,"待补充",IF(MIN(O133:P133)&lt;0,"检查输入",SUM(O133:P133))))</f>
        <v/>
      </c>
      <c r="V133" s="9">
        <f>IF(A133="","",IF(OR(T133="检查输入",U133="检查输入"),"检查输入",IF(OR(NOT(ISNUMBER(T133)),NOT(ISNUMBER(U133))),"待补充",IF(T133&lt;=0,"不可保本",IFERROR(ROUNDUP(U133/T133,0),"检查输入")))))</f>
        <v/>
      </c>
      <c r="W133" s="10">
        <f>IF(A133="","",IF(OR(NOT(ISNUMBER(T133)),NOT(ISNUMBER(U133)),NOT(ISNUMBER(Q133))),"待补充",IF(OR(Q133&lt;0,Q133&lt;&gt;INT(Q133)),"检查输入",ROUND(Q133*T133-U133,4))))</f>
        <v/>
      </c>
    </row>
    <row r="134" spans="18:23" ht="34" customHeight="1">
      <c r="R134" s="10">
        <f>IF(A134="","",IF(COUNT(G134,L134)&lt;2,"待补充",IF(OR(G134&lt;0,L134&lt;0,L134&gt;1),"检查输入",G134*L134)))</f>
        <v/>
      </c>
      <c r="S134" s="10">
        <f>IF(A134="","",IF(COUNT(M134:N134)&lt;2,"待补充",IF(OR(M134&lt;0,M134&gt;1,N134&lt;0),"检查输入",M134*N134)))</f>
        <v/>
      </c>
      <c r="T134" s="10">
        <f>IF(A134="","",IF(COUNT(F134:N134)&lt;9,"待补充",IF(OR(MIN(F134:N134)&lt;0,L134&gt;1,M134&gt;1),"检查输入",ROUND(F134-SUM(H134:K134)-R134-S134,4))))</f>
        <v/>
      </c>
      <c r="U134" s="10">
        <f>IF(A134="","",IF(COUNT(O134:P134)&lt;2,"待补充",IF(MIN(O134:P134)&lt;0,"检查输入",SUM(O134:P134))))</f>
        <v/>
      </c>
      <c r="V134" s="9">
        <f>IF(A134="","",IF(OR(T134="检查输入",U134="检查输入"),"检查输入",IF(OR(NOT(ISNUMBER(T134)),NOT(ISNUMBER(U134))),"待补充",IF(T134&lt;=0,"不可保本",IFERROR(ROUNDUP(U134/T134,0),"检查输入")))))</f>
        <v/>
      </c>
      <c r="W134" s="10">
        <f>IF(A134="","",IF(OR(NOT(ISNUMBER(T134)),NOT(ISNUMBER(U134)),NOT(ISNUMBER(Q134))),"待补充",IF(OR(Q134&lt;0,Q134&lt;&gt;INT(Q134)),"检查输入",ROUND(Q134*T134-U134,4))))</f>
        <v/>
      </c>
    </row>
    <row r="135" spans="18:23" ht="34" customHeight="1">
      <c r="R135" s="10">
        <f>IF(A135="","",IF(COUNT(G135,L135)&lt;2,"待补充",IF(OR(G135&lt;0,L135&lt;0,L135&gt;1),"检查输入",G135*L135)))</f>
        <v/>
      </c>
      <c r="S135" s="10">
        <f>IF(A135="","",IF(COUNT(M135:N135)&lt;2,"待补充",IF(OR(M135&lt;0,M135&gt;1,N135&lt;0),"检查输入",M135*N135)))</f>
        <v/>
      </c>
      <c r="T135" s="10">
        <f>IF(A135="","",IF(COUNT(F135:N135)&lt;9,"待补充",IF(OR(MIN(F135:N135)&lt;0,L135&gt;1,M135&gt;1),"检查输入",ROUND(F135-SUM(H135:K135)-R135-S135,4))))</f>
        <v/>
      </c>
      <c r="U135" s="10">
        <f>IF(A135="","",IF(COUNT(O135:P135)&lt;2,"待补充",IF(MIN(O135:P135)&lt;0,"检查输入",SUM(O135:P135))))</f>
        <v/>
      </c>
      <c r="V135" s="9">
        <f>IF(A135="","",IF(OR(T135="检查输入",U135="检查输入"),"检查输入",IF(OR(NOT(ISNUMBER(T135)),NOT(ISNUMBER(U135))),"待补充",IF(T135&lt;=0,"不可保本",IFERROR(ROUNDUP(U135/T135,0),"检查输入")))))</f>
        <v/>
      </c>
      <c r="W135" s="10">
        <f>IF(A135="","",IF(OR(NOT(ISNUMBER(T135)),NOT(ISNUMBER(U135)),NOT(ISNUMBER(Q135))),"待补充",IF(OR(Q135&lt;0,Q135&lt;&gt;INT(Q135)),"检查输入",ROUND(Q135*T135-U135,4))))</f>
        <v/>
      </c>
    </row>
    <row r="136" spans="18:23" ht="34" customHeight="1">
      <c r="R136" s="10">
        <f>IF(A136="","",IF(COUNT(G136,L136)&lt;2,"待补充",IF(OR(G136&lt;0,L136&lt;0,L136&gt;1),"检查输入",G136*L136)))</f>
        <v/>
      </c>
      <c r="S136" s="10">
        <f>IF(A136="","",IF(COUNT(M136:N136)&lt;2,"待补充",IF(OR(M136&lt;0,M136&gt;1,N136&lt;0),"检查输入",M136*N136)))</f>
        <v/>
      </c>
      <c r="T136" s="10">
        <f>IF(A136="","",IF(COUNT(F136:N136)&lt;9,"待补充",IF(OR(MIN(F136:N136)&lt;0,L136&gt;1,M136&gt;1),"检查输入",ROUND(F136-SUM(H136:K136)-R136-S136,4))))</f>
        <v/>
      </c>
      <c r="U136" s="10">
        <f>IF(A136="","",IF(COUNT(O136:P136)&lt;2,"待补充",IF(MIN(O136:P136)&lt;0,"检查输入",SUM(O136:P136))))</f>
        <v/>
      </c>
      <c r="V136" s="9">
        <f>IF(A136="","",IF(OR(T136="检查输入",U136="检查输入"),"检查输入",IF(OR(NOT(ISNUMBER(T136)),NOT(ISNUMBER(U136))),"待补充",IF(T136&lt;=0,"不可保本",IFERROR(ROUNDUP(U136/T136,0),"检查输入")))))</f>
        <v/>
      </c>
      <c r="W136" s="10">
        <f>IF(A136="","",IF(OR(NOT(ISNUMBER(T136)),NOT(ISNUMBER(U136)),NOT(ISNUMBER(Q136))),"待补充",IF(OR(Q136&lt;0,Q136&lt;&gt;INT(Q136)),"检查输入",ROUND(Q136*T136-U136,4))))</f>
        <v/>
      </c>
    </row>
    <row r="137" spans="18:23" ht="34" customHeight="1">
      <c r="R137" s="10">
        <f>IF(A137="","",IF(COUNT(G137,L137)&lt;2,"待补充",IF(OR(G137&lt;0,L137&lt;0,L137&gt;1),"检查输入",G137*L137)))</f>
        <v/>
      </c>
      <c r="S137" s="10">
        <f>IF(A137="","",IF(COUNT(M137:N137)&lt;2,"待补充",IF(OR(M137&lt;0,M137&gt;1,N137&lt;0),"检查输入",M137*N137)))</f>
        <v/>
      </c>
      <c r="T137" s="10">
        <f>IF(A137="","",IF(COUNT(F137:N137)&lt;9,"待补充",IF(OR(MIN(F137:N137)&lt;0,L137&gt;1,M137&gt;1),"检查输入",ROUND(F137-SUM(H137:K137)-R137-S137,4))))</f>
        <v/>
      </c>
      <c r="U137" s="10">
        <f>IF(A137="","",IF(COUNT(O137:P137)&lt;2,"待补充",IF(MIN(O137:P137)&lt;0,"检查输入",SUM(O137:P137))))</f>
        <v/>
      </c>
      <c r="V137" s="9">
        <f>IF(A137="","",IF(OR(T137="检查输入",U137="检查输入"),"检查输入",IF(OR(NOT(ISNUMBER(T137)),NOT(ISNUMBER(U137))),"待补充",IF(T137&lt;=0,"不可保本",IFERROR(ROUNDUP(U137/T137,0),"检查输入")))))</f>
        <v/>
      </c>
      <c r="W137" s="10">
        <f>IF(A137="","",IF(OR(NOT(ISNUMBER(T137)),NOT(ISNUMBER(U137)),NOT(ISNUMBER(Q137))),"待补充",IF(OR(Q137&lt;0,Q137&lt;&gt;INT(Q137)),"检查输入",ROUND(Q137*T137-U137,4))))</f>
        <v/>
      </c>
    </row>
    <row r="138" spans="18:23" ht="34" customHeight="1">
      <c r="R138" s="10">
        <f>IF(A138="","",IF(COUNT(G138,L138)&lt;2,"待补充",IF(OR(G138&lt;0,L138&lt;0,L138&gt;1),"检查输入",G138*L138)))</f>
        <v/>
      </c>
      <c r="S138" s="10">
        <f>IF(A138="","",IF(COUNT(M138:N138)&lt;2,"待补充",IF(OR(M138&lt;0,M138&gt;1,N138&lt;0),"检查输入",M138*N138)))</f>
        <v/>
      </c>
      <c r="T138" s="10">
        <f>IF(A138="","",IF(COUNT(F138:N138)&lt;9,"待补充",IF(OR(MIN(F138:N138)&lt;0,L138&gt;1,M138&gt;1),"检查输入",ROUND(F138-SUM(H138:K138)-R138-S138,4))))</f>
        <v/>
      </c>
      <c r="U138" s="10">
        <f>IF(A138="","",IF(COUNT(O138:P138)&lt;2,"待补充",IF(MIN(O138:P138)&lt;0,"检查输入",SUM(O138:P138))))</f>
        <v/>
      </c>
      <c r="V138" s="9">
        <f>IF(A138="","",IF(OR(T138="检查输入",U138="检查输入"),"检查输入",IF(OR(NOT(ISNUMBER(T138)),NOT(ISNUMBER(U138))),"待补充",IF(T138&lt;=0,"不可保本",IFERROR(ROUNDUP(U138/T138,0),"检查输入")))))</f>
        <v/>
      </c>
      <c r="W138" s="10">
        <f>IF(A138="","",IF(OR(NOT(ISNUMBER(T138)),NOT(ISNUMBER(U138)),NOT(ISNUMBER(Q138))),"待补充",IF(OR(Q138&lt;0,Q138&lt;&gt;INT(Q138)),"检查输入",ROUND(Q138*T138-U138,4))))</f>
        <v/>
      </c>
    </row>
    <row r="139" spans="18:23" ht="34" customHeight="1">
      <c r="R139" s="10">
        <f>IF(A139="","",IF(COUNT(G139,L139)&lt;2,"待补充",IF(OR(G139&lt;0,L139&lt;0,L139&gt;1),"检查输入",G139*L139)))</f>
        <v/>
      </c>
      <c r="S139" s="10">
        <f>IF(A139="","",IF(COUNT(M139:N139)&lt;2,"待补充",IF(OR(M139&lt;0,M139&gt;1,N139&lt;0),"检查输入",M139*N139)))</f>
        <v/>
      </c>
      <c r="T139" s="10">
        <f>IF(A139="","",IF(COUNT(F139:N139)&lt;9,"待补充",IF(OR(MIN(F139:N139)&lt;0,L139&gt;1,M139&gt;1),"检查输入",ROUND(F139-SUM(H139:K139)-R139-S139,4))))</f>
        <v/>
      </c>
      <c r="U139" s="10">
        <f>IF(A139="","",IF(COUNT(O139:P139)&lt;2,"待补充",IF(MIN(O139:P139)&lt;0,"检查输入",SUM(O139:P139))))</f>
        <v/>
      </c>
      <c r="V139" s="9">
        <f>IF(A139="","",IF(OR(T139="检查输入",U139="检查输入"),"检查输入",IF(OR(NOT(ISNUMBER(T139)),NOT(ISNUMBER(U139))),"待补充",IF(T139&lt;=0,"不可保本",IFERROR(ROUNDUP(U139/T139,0),"检查输入")))))</f>
        <v/>
      </c>
      <c r="W139" s="10">
        <f>IF(A139="","",IF(OR(NOT(ISNUMBER(T139)),NOT(ISNUMBER(U139)),NOT(ISNUMBER(Q139))),"待补充",IF(OR(Q139&lt;0,Q139&lt;&gt;INT(Q139)),"检查输入",ROUND(Q139*T139-U139,4))))</f>
        <v/>
      </c>
    </row>
    <row r="140" spans="18:23" ht="34" customHeight="1">
      <c r="R140" s="10">
        <f>IF(A140="","",IF(COUNT(G140,L140)&lt;2,"待补充",IF(OR(G140&lt;0,L140&lt;0,L140&gt;1),"检查输入",G140*L140)))</f>
        <v/>
      </c>
      <c r="S140" s="10">
        <f>IF(A140="","",IF(COUNT(M140:N140)&lt;2,"待补充",IF(OR(M140&lt;0,M140&gt;1,N140&lt;0),"检查输入",M140*N140)))</f>
        <v/>
      </c>
      <c r="T140" s="10">
        <f>IF(A140="","",IF(COUNT(F140:N140)&lt;9,"待补充",IF(OR(MIN(F140:N140)&lt;0,L140&gt;1,M140&gt;1),"检查输入",ROUND(F140-SUM(H140:K140)-R140-S140,4))))</f>
        <v/>
      </c>
      <c r="U140" s="10">
        <f>IF(A140="","",IF(COUNT(O140:P140)&lt;2,"待补充",IF(MIN(O140:P140)&lt;0,"检查输入",SUM(O140:P140))))</f>
        <v/>
      </c>
      <c r="V140" s="9">
        <f>IF(A140="","",IF(OR(T140="检查输入",U140="检查输入"),"检查输入",IF(OR(NOT(ISNUMBER(T140)),NOT(ISNUMBER(U140))),"待补充",IF(T140&lt;=0,"不可保本",IFERROR(ROUNDUP(U140/T140,0),"检查输入")))))</f>
        <v/>
      </c>
      <c r="W140" s="10">
        <f>IF(A140="","",IF(OR(NOT(ISNUMBER(T140)),NOT(ISNUMBER(U140)),NOT(ISNUMBER(Q140))),"待补充",IF(OR(Q140&lt;0,Q140&lt;&gt;INT(Q140)),"检查输入",ROUND(Q140*T140-U140,4))))</f>
        <v/>
      </c>
    </row>
    <row r="141" spans="18:23" ht="34" customHeight="1">
      <c r="R141" s="10">
        <f>IF(A141="","",IF(COUNT(G141,L141)&lt;2,"待补充",IF(OR(G141&lt;0,L141&lt;0,L141&gt;1),"检查输入",G141*L141)))</f>
        <v/>
      </c>
      <c r="S141" s="10">
        <f>IF(A141="","",IF(COUNT(M141:N141)&lt;2,"待补充",IF(OR(M141&lt;0,M141&gt;1,N141&lt;0),"检查输入",M141*N141)))</f>
        <v/>
      </c>
      <c r="T141" s="10">
        <f>IF(A141="","",IF(COUNT(F141:N141)&lt;9,"待补充",IF(OR(MIN(F141:N141)&lt;0,L141&gt;1,M141&gt;1),"检查输入",ROUND(F141-SUM(H141:K141)-R141-S141,4))))</f>
        <v/>
      </c>
      <c r="U141" s="10">
        <f>IF(A141="","",IF(COUNT(O141:P141)&lt;2,"待补充",IF(MIN(O141:P141)&lt;0,"检查输入",SUM(O141:P141))))</f>
        <v/>
      </c>
      <c r="V141" s="9">
        <f>IF(A141="","",IF(OR(T141="检查输入",U141="检查输入"),"检查输入",IF(OR(NOT(ISNUMBER(T141)),NOT(ISNUMBER(U141))),"待补充",IF(T141&lt;=0,"不可保本",IFERROR(ROUNDUP(U141/T141,0),"检查输入")))))</f>
        <v/>
      </c>
      <c r="W141" s="10">
        <f>IF(A141="","",IF(OR(NOT(ISNUMBER(T141)),NOT(ISNUMBER(U141)),NOT(ISNUMBER(Q141))),"待补充",IF(OR(Q141&lt;0,Q141&lt;&gt;INT(Q141)),"检查输入",ROUND(Q141*T141-U141,4))))</f>
        <v/>
      </c>
    </row>
    <row r="142" spans="18:23" ht="34" customHeight="1">
      <c r="R142" s="10">
        <f>IF(A142="","",IF(COUNT(G142,L142)&lt;2,"待补充",IF(OR(G142&lt;0,L142&lt;0,L142&gt;1),"检查输入",G142*L142)))</f>
        <v/>
      </c>
      <c r="S142" s="10">
        <f>IF(A142="","",IF(COUNT(M142:N142)&lt;2,"待补充",IF(OR(M142&lt;0,M142&gt;1,N142&lt;0),"检查输入",M142*N142)))</f>
        <v/>
      </c>
      <c r="T142" s="10">
        <f>IF(A142="","",IF(COUNT(F142:N142)&lt;9,"待补充",IF(OR(MIN(F142:N142)&lt;0,L142&gt;1,M142&gt;1),"检查输入",ROUND(F142-SUM(H142:K142)-R142-S142,4))))</f>
        <v/>
      </c>
      <c r="U142" s="10">
        <f>IF(A142="","",IF(COUNT(O142:P142)&lt;2,"待补充",IF(MIN(O142:P142)&lt;0,"检查输入",SUM(O142:P142))))</f>
        <v/>
      </c>
      <c r="V142" s="9">
        <f>IF(A142="","",IF(OR(T142="检查输入",U142="检查输入"),"检查输入",IF(OR(NOT(ISNUMBER(T142)),NOT(ISNUMBER(U142))),"待补充",IF(T142&lt;=0,"不可保本",IFERROR(ROUNDUP(U142/T142,0),"检查输入")))))</f>
        <v/>
      </c>
      <c r="W142" s="10">
        <f>IF(A142="","",IF(OR(NOT(ISNUMBER(T142)),NOT(ISNUMBER(U142)),NOT(ISNUMBER(Q142))),"待补充",IF(OR(Q142&lt;0,Q142&lt;&gt;INT(Q142)),"检查输入",ROUND(Q142*T142-U142,4))))</f>
        <v/>
      </c>
    </row>
    <row r="143" spans="18:23" ht="34" customHeight="1">
      <c r="R143" s="10">
        <f>IF(A143="","",IF(COUNT(G143,L143)&lt;2,"待补充",IF(OR(G143&lt;0,L143&lt;0,L143&gt;1),"检查输入",G143*L143)))</f>
        <v/>
      </c>
      <c r="S143" s="10">
        <f>IF(A143="","",IF(COUNT(M143:N143)&lt;2,"待补充",IF(OR(M143&lt;0,M143&gt;1,N143&lt;0),"检查输入",M143*N143)))</f>
        <v/>
      </c>
      <c r="T143" s="10">
        <f>IF(A143="","",IF(COUNT(F143:N143)&lt;9,"待补充",IF(OR(MIN(F143:N143)&lt;0,L143&gt;1,M143&gt;1),"检查输入",ROUND(F143-SUM(H143:K143)-R143-S143,4))))</f>
        <v/>
      </c>
      <c r="U143" s="10">
        <f>IF(A143="","",IF(COUNT(O143:P143)&lt;2,"待补充",IF(MIN(O143:P143)&lt;0,"检查输入",SUM(O143:P143))))</f>
        <v/>
      </c>
      <c r="V143" s="9">
        <f>IF(A143="","",IF(OR(T143="检查输入",U143="检查输入"),"检查输入",IF(OR(NOT(ISNUMBER(T143)),NOT(ISNUMBER(U143))),"待补充",IF(T143&lt;=0,"不可保本",IFERROR(ROUNDUP(U143/T143,0),"检查输入")))))</f>
        <v/>
      </c>
      <c r="W143" s="10">
        <f>IF(A143="","",IF(OR(NOT(ISNUMBER(T143)),NOT(ISNUMBER(U143)),NOT(ISNUMBER(Q143))),"待补充",IF(OR(Q143&lt;0,Q143&lt;&gt;INT(Q143)),"检查输入",ROUND(Q143*T143-U143,4))))</f>
        <v/>
      </c>
    </row>
    <row r="144" spans="18:23" ht="34" customHeight="1">
      <c r="R144" s="10">
        <f>IF(A144="","",IF(COUNT(G144,L144)&lt;2,"待补充",IF(OR(G144&lt;0,L144&lt;0,L144&gt;1),"检查输入",G144*L144)))</f>
        <v/>
      </c>
      <c r="S144" s="10">
        <f>IF(A144="","",IF(COUNT(M144:N144)&lt;2,"待补充",IF(OR(M144&lt;0,M144&gt;1,N144&lt;0),"检查输入",M144*N144)))</f>
        <v/>
      </c>
      <c r="T144" s="10">
        <f>IF(A144="","",IF(COUNT(F144:N144)&lt;9,"待补充",IF(OR(MIN(F144:N144)&lt;0,L144&gt;1,M144&gt;1),"检查输入",ROUND(F144-SUM(H144:K144)-R144-S144,4))))</f>
        <v/>
      </c>
      <c r="U144" s="10">
        <f>IF(A144="","",IF(COUNT(O144:P144)&lt;2,"待补充",IF(MIN(O144:P144)&lt;0,"检查输入",SUM(O144:P144))))</f>
        <v/>
      </c>
      <c r="V144" s="9">
        <f>IF(A144="","",IF(OR(T144="检查输入",U144="检查输入"),"检查输入",IF(OR(NOT(ISNUMBER(T144)),NOT(ISNUMBER(U144))),"待补充",IF(T144&lt;=0,"不可保本",IFERROR(ROUNDUP(U144/T144,0),"检查输入")))))</f>
        <v/>
      </c>
      <c r="W144" s="10">
        <f>IF(A144="","",IF(OR(NOT(ISNUMBER(T144)),NOT(ISNUMBER(U144)),NOT(ISNUMBER(Q144))),"待补充",IF(OR(Q144&lt;0,Q144&lt;&gt;INT(Q144)),"检查输入",ROUND(Q144*T144-U144,4))))</f>
        <v/>
      </c>
    </row>
    <row r="145" spans="18:23" ht="34" customHeight="1">
      <c r="R145" s="10">
        <f>IF(A145="","",IF(COUNT(G145,L145)&lt;2,"待补充",IF(OR(G145&lt;0,L145&lt;0,L145&gt;1),"检查输入",G145*L145)))</f>
        <v/>
      </c>
      <c r="S145" s="10">
        <f>IF(A145="","",IF(COUNT(M145:N145)&lt;2,"待补充",IF(OR(M145&lt;0,M145&gt;1,N145&lt;0),"检查输入",M145*N145)))</f>
        <v/>
      </c>
      <c r="T145" s="10">
        <f>IF(A145="","",IF(COUNT(F145:N145)&lt;9,"待补充",IF(OR(MIN(F145:N145)&lt;0,L145&gt;1,M145&gt;1),"检查输入",ROUND(F145-SUM(H145:K145)-R145-S145,4))))</f>
        <v/>
      </c>
      <c r="U145" s="10">
        <f>IF(A145="","",IF(COUNT(O145:P145)&lt;2,"待补充",IF(MIN(O145:P145)&lt;0,"检查输入",SUM(O145:P145))))</f>
        <v/>
      </c>
      <c r="V145" s="9">
        <f>IF(A145="","",IF(OR(T145="检查输入",U145="检查输入"),"检查输入",IF(OR(NOT(ISNUMBER(T145)),NOT(ISNUMBER(U145))),"待补充",IF(T145&lt;=0,"不可保本",IFERROR(ROUNDUP(U145/T145,0),"检查输入")))))</f>
        <v/>
      </c>
      <c r="W145" s="10">
        <f>IF(A145="","",IF(OR(NOT(ISNUMBER(T145)),NOT(ISNUMBER(U145)),NOT(ISNUMBER(Q145))),"待补充",IF(OR(Q145&lt;0,Q145&lt;&gt;INT(Q145)),"检查输入",ROUND(Q145*T145-U145,4))))</f>
        <v/>
      </c>
    </row>
    <row r="146" spans="18:23" ht="34" customHeight="1">
      <c r="R146" s="10">
        <f>IF(A146="","",IF(COUNT(G146,L146)&lt;2,"待补充",IF(OR(G146&lt;0,L146&lt;0,L146&gt;1),"检查输入",G146*L146)))</f>
        <v/>
      </c>
      <c r="S146" s="10">
        <f>IF(A146="","",IF(COUNT(M146:N146)&lt;2,"待补充",IF(OR(M146&lt;0,M146&gt;1,N146&lt;0),"检查输入",M146*N146)))</f>
        <v/>
      </c>
      <c r="T146" s="10">
        <f>IF(A146="","",IF(COUNT(F146:N146)&lt;9,"待补充",IF(OR(MIN(F146:N146)&lt;0,L146&gt;1,M146&gt;1),"检查输入",ROUND(F146-SUM(H146:K146)-R146-S146,4))))</f>
        <v/>
      </c>
      <c r="U146" s="10">
        <f>IF(A146="","",IF(COUNT(O146:P146)&lt;2,"待补充",IF(MIN(O146:P146)&lt;0,"检查输入",SUM(O146:P146))))</f>
        <v/>
      </c>
      <c r="V146" s="9">
        <f>IF(A146="","",IF(OR(T146="检查输入",U146="检查输入"),"检查输入",IF(OR(NOT(ISNUMBER(T146)),NOT(ISNUMBER(U146))),"待补充",IF(T146&lt;=0,"不可保本",IFERROR(ROUNDUP(U146/T146,0),"检查输入")))))</f>
        <v/>
      </c>
      <c r="W146" s="10">
        <f>IF(A146="","",IF(OR(NOT(ISNUMBER(T146)),NOT(ISNUMBER(U146)),NOT(ISNUMBER(Q146))),"待补充",IF(OR(Q146&lt;0,Q146&lt;&gt;INT(Q146)),"检查输入",ROUND(Q146*T146-U146,4))))</f>
        <v/>
      </c>
    </row>
    <row r="147" spans="18:23" ht="34" customHeight="1">
      <c r="R147" s="10">
        <f>IF(A147="","",IF(COUNT(G147,L147)&lt;2,"待补充",IF(OR(G147&lt;0,L147&lt;0,L147&gt;1),"检查输入",G147*L147)))</f>
        <v/>
      </c>
      <c r="S147" s="10">
        <f>IF(A147="","",IF(COUNT(M147:N147)&lt;2,"待补充",IF(OR(M147&lt;0,M147&gt;1,N147&lt;0),"检查输入",M147*N147)))</f>
        <v/>
      </c>
      <c r="T147" s="10">
        <f>IF(A147="","",IF(COUNT(F147:N147)&lt;9,"待补充",IF(OR(MIN(F147:N147)&lt;0,L147&gt;1,M147&gt;1),"检查输入",ROUND(F147-SUM(H147:K147)-R147-S147,4))))</f>
        <v/>
      </c>
      <c r="U147" s="10">
        <f>IF(A147="","",IF(COUNT(O147:P147)&lt;2,"待补充",IF(MIN(O147:P147)&lt;0,"检查输入",SUM(O147:P147))))</f>
        <v/>
      </c>
      <c r="V147" s="9">
        <f>IF(A147="","",IF(OR(T147="检查输入",U147="检查输入"),"检查输入",IF(OR(NOT(ISNUMBER(T147)),NOT(ISNUMBER(U147))),"待补充",IF(T147&lt;=0,"不可保本",IFERROR(ROUNDUP(U147/T147,0),"检查输入")))))</f>
        <v/>
      </c>
      <c r="W147" s="10">
        <f>IF(A147="","",IF(OR(NOT(ISNUMBER(T147)),NOT(ISNUMBER(U147)),NOT(ISNUMBER(Q147))),"待补充",IF(OR(Q147&lt;0,Q147&lt;&gt;INT(Q147)),"检查输入",ROUND(Q147*T147-U147,4))))</f>
        <v/>
      </c>
    </row>
    <row r="148" spans="18:23" ht="34" customHeight="1">
      <c r="R148" s="10">
        <f>IF(A148="","",IF(COUNT(G148,L148)&lt;2,"待补充",IF(OR(G148&lt;0,L148&lt;0,L148&gt;1),"检查输入",G148*L148)))</f>
        <v/>
      </c>
      <c r="S148" s="10">
        <f>IF(A148="","",IF(COUNT(M148:N148)&lt;2,"待补充",IF(OR(M148&lt;0,M148&gt;1,N148&lt;0),"检查输入",M148*N148)))</f>
        <v/>
      </c>
      <c r="T148" s="10">
        <f>IF(A148="","",IF(COUNT(F148:N148)&lt;9,"待补充",IF(OR(MIN(F148:N148)&lt;0,L148&gt;1,M148&gt;1),"检查输入",ROUND(F148-SUM(H148:K148)-R148-S148,4))))</f>
        <v/>
      </c>
      <c r="U148" s="10">
        <f>IF(A148="","",IF(COUNT(O148:P148)&lt;2,"待补充",IF(MIN(O148:P148)&lt;0,"检查输入",SUM(O148:P148))))</f>
        <v/>
      </c>
      <c r="V148" s="9">
        <f>IF(A148="","",IF(OR(T148="检查输入",U148="检查输入"),"检查输入",IF(OR(NOT(ISNUMBER(T148)),NOT(ISNUMBER(U148))),"待补充",IF(T148&lt;=0,"不可保本",IFERROR(ROUNDUP(U148/T148,0),"检查输入")))))</f>
        <v/>
      </c>
      <c r="W148" s="10">
        <f>IF(A148="","",IF(OR(NOT(ISNUMBER(T148)),NOT(ISNUMBER(U148)),NOT(ISNUMBER(Q148))),"待补充",IF(OR(Q148&lt;0,Q148&lt;&gt;INT(Q148)),"检查输入",ROUND(Q148*T148-U148,4))))</f>
        <v/>
      </c>
    </row>
    <row r="149" spans="18:23" ht="34" customHeight="1">
      <c r="R149" s="10">
        <f>IF(A149="","",IF(COUNT(G149,L149)&lt;2,"待补充",IF(OR(G149&lt;0,L149&lt;0,L149&gt;1),"检查输入",G149*L149)))</f>
        <v/>
      </c>
      <c r="S149" s="10">
        <f>IF(A149="","",IF(COUNT(M149:N149)&lt;2,"待补充",IF(OR(M149&lt;0,M149&gt;1,N149&lt;0),"检查输入",M149*N149)))</f>
        <v/>
      </c>
      <c r="T149" s="10">
        <f>IF(A149="","",IF(COUNT(F149:N149)&lt;9,"待补充",IF(OR(MIN(F149:N149)&lt;0,L149&gt;1,M149&gt;1),"检查输入",ROUND(F149-SUM(H149:K149)-R149-S149,4))))</f>
        <v/>
      </c>
      <c r="U149" s="10">
        <f>IF(A149="","",IF(COUNT(O149:P149)&lt;2,"待补充",IF(MIN(O149:P149)&lt;0,"检查输入",SUM(O149:P149))))</f>
        <v/>
      </c>
      <c r="V149" s="9">
        <f>IF(A149="","",IF(OR(T149="检查输入",U149="检查输入"),"检查输入",IF(OR(NOT(ISNUMBER(T149)),NOT(ISNUMBER(U149))),"待补充",IF(T149&lt;=0,"不可保本",IFERROR(ROUNDUP(U149/T149,0),"检查输入")))))</f>
        <v/>
      </c>
      <c r="W149" s="10">
        <f>IF(A149="","",IF(OR(NOT(ISNUMBER(T149)),NOT(ISNUMBER(U149)),NOT(ISNUMBER(Q149))),"待补充",IF(OR(Q149&lt;0,Q149&lt;&gt;INT(Q149)),"检查输入",ROUND(Q149*T149-U149,4))))</f>
        <v/>
      </c>
    </row>
    <row r="150" spans="18:23" ht="34" customHeight="1">
      <c r="R150" s="10">
        <f>IF(A150="","",IF(COUNT(G150,L150)&lt;2,"待补充",IF(OR(G150&lt;0,L150&lt;0,L150&gt;1),"检查输入",G150*L150)))</f>
        <v/>
      </c>
      <c r="S150" s="10">
        <f>IF(A150="","",IF(COUNT(M150:N150)&lt;2,"待补充",IF(OR(M150&lt;0,M150&gt;1,N150&lt;0),"检查输入",M150*N150)))</f>
        <v/>
      </c>
      <c r="T150" s="10">
        <f>IF(A150="","",IF(COUNT(F150:N150)&lt;9,"待补充",IF(OR(MIN(F150:N150)&lt;0,L150&gt;1,M150&gt;1),"检查输入",ROUND(F150-SUM(H150:K150)-R150-S150,4))))</f>
        <v/>
      </c>
      <c r="U150" s="10">
        <f>IF(A150="","",IF(COUNT(O150:P150)&lt;2,"待补充",IF(MIN(O150:P150)&lt;0,"检查输入",SUM(O150:P150))))</f>
        <v/>
      </c>
      <c r="V150" s="9">
        <f>IF(A150="","",IF(OR(T150="检查输入",U150="检查输入"),"检查输入",IF(OR(NOT(ISNUMBER(T150)),NOT(ISNUMBER(U150))),"待补充",IF(T150&lt;=0,"不可保本",IFERROR(ROUNDUP(U150/T150,0),"检查输入")))))</f>
        <v/>
      </c>
      <c r="W150" s="10">
        <f>IF(A150="","",IF(OR(NOT(ISNUMBER(T150)),NOT(ISNUMBER(U150)),NOT(ISNUMBER(Q150))),"待补充",IF(OR(Q150&lt;0,Q150&lt;&gt;INT(Q150)),"检查输入",ROUND(Q150*T150-U150,4))))</f>
        <v/>
      </c>
    </row>
    <row r="151" spans="18:23" ht="34" customHeight="1">
      <c r="R151" s="10">
        <f>IF(A151="","",IF(COUNT(G151,L151)&lt;2,"待补充",IF(OR(G151&lt;0,L151&lt;0,L151&gt;1),"检查输入",G151*L151)))</f>
        <v/>
      </c>
      <c r="S151" s="10">
        <f>IF(A151="","",IF(COUNT(M151:N151)&lt;2,"待补充",IF(OR(M151&lt;0,M151&gt;1,N151&lt;0),"检查输入",M151*N151)))</f>
        <v/>
      </c>
      <c r="T151" s="10">
        <f>IF(A151="","",IF(COUNT(F151:N151)&lt;9,"待补充",IF(OR(MIN(F151:N151)&lt;0,L151&gt;1,M151&gt;1),"检查输入",ROUND(F151-SUM(H151:K151)-R151-S151,4))))</f>
        <v/>
      </c>
      <c r="U151" s="10">
        <f>IF(A151="","",IF(COUNT(O151:P151)&lt;2,"待补充",IF(MIN(O151:P151)&lt;0,"检查输入",SUM(O151:P151))))</f>
        <v/>
      </c>
      <c r="V151" s="9">
        <f>IF(A151="","",IF(OR(T151="检查输入",U151="检查输入"),"检查输入",IF(OR(NOT(ISNUMBER(T151)),NOT(ISNUMBER(U151))),"待补充",IF(T151&lt;=0,"不可保本",IFERROR(ROUNDUP(U151/T151,0),"检查输入")))))</f>
        <v/>
      </c>
      <c r="W151" s="10">
        <f>IF(A151="","",IF(OR(NOT(ISNUMBER(T151)),NOT(ISNUMBER(U151)),NOT(ISNUMBER(Q151))),"待补充",IF(OR(Q151&lt;0,Q151&lt;&gt;INT(Q151)),"检查输入",ROUND(Q151*T151-U151,4))))</f>
        <v/>
      </c>
    </row>
    <row r="152" spans="18:23" ht="34" customHeight="1">
      <c r="R152" s="10">
        <f>IF(A152="","",IF(COUNT(G152,L152)&lt;2,"待补充",IF(OR(G152&lt;0,L152&lt;0,L152&gt;1),"检查输入",G152*L152)))</f>
        <v/>
      </c>
      <c r="S152" s="10">
        <f>IF(A152="","",IF(COUNT(M152:N152)&lt;2,"待补充",IF(OR(M152&lt;0,M152&gt;1,N152&lt;0),"检查输入",M152*N152)))</f>
        <v/>
      </c>
      <c r="T152" s="10">
        <f>IF(A152="","",IF(COUNT(F152:N152)&lt;9,"待补充",IF(OR(MIN(F152:N152)&lt;0,L152&gt;1,M152&gt;1),"检查输入",ROUND(F152-SUM(H152:K152)-R152-S152,4))))</f>
        <v/>
      </c>
      <c r="U152" s="10">
        <f>IF(A152="","",IF(COUNT(O152:P152)&lt;2,"待补充",IF(MIN(O152:P152)&lt;0,"检查输入",SUM(O152:P152))))</f>
        <v/>
      </c>
      <c r="V152" s="9">
        <f>IF(A152="","",IF(OR(T152="检查输入",U152="检查输入"),"检查输入",IF(OR(NOT(ISNUMBER(T152)),NOT(ISNUMBER(U152))),"待补充",IF(T152&lt;=0,"不可保本",IFERROR(ROUNDUP(U152/T152,0),"检查输入")))))</f>
        <v/>
      </c>
      <c r="W152" s="10">
        <f>IF(A152="","",IF(OR(NOT(ISNUMBER(T152)),NOT(ISNUMBER(U152)),NOT(ISNUMBER(Q152))),"待补充",IF(OR(Q152&lt;0,Q152&lt;&gt;INT(Q152)),"检查输入",ROUND(Q152*T152-U152,4))))</f>
        <v/>
      </c>
    </row>
    <row r="153" spans="18:23" ht="34" customHeight="1">
      <c r="R153" s="10">
        <f>IF(A153="","",IF(COUNT(G153,L153)&lt;2,"待补充",IF(OR(G153&lt;0,L153&lt;0,L153&gt;1),"检查输入",G153*L153)))</f>
        <v/>
      </c>
      <c r="S153" s="10">
        <f>IF(A153="","",IF(COUNT(M153:N153)&lt;2,"待补充",IF(OR(M153&lt;0,M153&gt;1,N153&lt;0),"检查输入",M153*N153)))</f>
        <v/>
      </c>
      <c r="T153" s="10">
        <f>IF(A153="","",IF(COUNT(F153:N153)&lt;9,"待补充",IF(OR(MIN(F153:N153)&lt;0,L153&gt;1,M153&gt;1),"检查输入",ROUND(F153-SUM(H153:K153)-R153-S153,4))))</f>
        <v/>
      </c>
      <c r="U153" s="10">
        <f>IF(A153="","",IF(COUNT(O153:P153)&lt;2,"待补充",IF(MIN(O153:P153)&lt;0,"检查输入",SUM(O153:P153))))</f>
        <v/>
      </c>
      <c r="V153" s="9">
        <f>IF(A153="","",IF(OR(T153="检查输入",U153="检查输入"),"检查输入",IF(OR(NOT(ISNUMBER(T153)),NOT(ISNUMBER(U153))),"待补充",IF(T153&lt;=0,"不可保本",IFERROR(ROUNDUP(U153/T153,0),"检查输入")))))</f>
        <v/>
      </c>
      <c r="W153" s="10">
        <f>IF(A153="","",IF(OR(NOT(ISNUMBER(T153)),NOT(ISNUMBER(U153)),NOT(ISNUMBER(Q153))),"待补充",IF(OR(Q153&lt;0,Q153&lt;&gt;INT(Q153)),"检查输入",ROUND(Q153*T153-U153,4))))</f>
        <v/>
      </c>
    </row>
    <row r="154" spans="18:23" ht="34" customHeight="1">
      <c r="R154" s="10">
        <f>IF(A154="","",IF(COUNT(G154,L154)&lt;2,"待补充",IF(OR(G154&lt;0,L154&lt;0,L154&gt;1),"检查输入",G154*L154)))</f>
        <v/>
      </c>
      <c r="S154" s="10">
        <f>IF(A154="","",IF(COUNT(M154:N154)&lt;2,"待补充",IF(OR(M154&lt;0,M154&gt;1,N154&lt;0),"检查输入",M154*N154)))</f>
        <v/>
      </c>
      <c r="T154" s="10">
        <f>IF(A154="","",IF(COUNT(F154:N154)&lt;9,"待补充",IF(OR(MIN(F154:N154)&lt;0,L154&gt;1,M154&gt;1),"检查输入",ROUND(F154-SUM(H154:K154)-R154-S154,4))))</f>
        <v/>
      </c>
      <c r="U154" s="10">
        <f>IF(A154="","",IF(COUNT(O154:P154)&lt;2,"待补充",IF(MIN(O154:P154)&lt;0,"检查输入",SUM(O154:P154))))</f>
        <v/>
      </c>
      <c r="V154" s="9">
        <f>IF(A154="","",IF(OR(T154="检查输入",U154="检查输入"),"检查输入",IF(OR(NOT(ISNUMBER(T154)),NOT(ISNUMBER(U154))),"待补充",IF(T154&lt;=0,"不可保本",IFERROR(ROUNDUP(U154/T154,0),"检查输入")))))</f>
        <v/>
      </c>
      <c r="W154" s="10">
        <f>IF(A154="","",IF(OR(NOT(ISNUMBER(T154)),NOT(ISNUMBER(U154)),NOT(ISNUMBER(Q154))),"待补充",IF(OR(Q154&lt;0,Q154&lt;&gt;INT(Q154)),"检查输入",ROUND(Q154*T154-U154,4))))</f>
        <v/>
      </c>
    </row>
    <row r="155" spans="18:23" ht="34" customHeight="1">
      <c r="R155" s="10">
        <f>IF(A155="","",IF(COUNT(G155,L155)&lt;2,"待补充",IF(OR(G155&lt;0,L155&lt;0,L155&gt;1),"检查输入",G155*L155)))</f>
        <v/>
      </c>
      <c r="S155" s="10">
        <f>IF(A155="","",IF(COUNT(M155:N155)&lt;2,"待补充",IF(OR(M155&lt;0,M155&gt;1,N155&lt;0),"检查输入",M155*N155)))</f>
        <v/>
      </c>
      <c r="T155" s="10">
        <f>IF(A155="","",IF(COUNT(F155:N155)&lt;9,"待补充",IF(OR(MIN(F155:N155)&lt;0,L155&gt;1,M155&gt;1),"检查输入",ROUND(F155-SUM(H155:K155)-R155-S155,4))))</f>
        <v/>
      </c>
      <c r="U155" s="10">
        <f>IF(A155="","",IF(COUNT(O155:P155)&lt;2,"待补充",IF(MIN(O155:P155)&lt;0,"检查输入",SUM(O155:P155))))</f>
        <v/>
      </c>
      <c r="V155" s="9">
        <f>IF(A155="","",IF(OR(T155="检查输入",U155="检查输入"),"检查输入",IF(OR(NOT(ISNUMBER(T155)),NOT(ISNUMBER(U155))),"待补充",IF(T155&lt;=0,"不可保本",IFERROR(ROUNDUP(U155/T155,0),"检查输入")))))</f>
        <v/>
      </c>
      <c r="W155" s="10">
        <f>IF(A155="","",IF(OR(NOT(ISNUMBER(T155)),NOT(ISNUMBER(U155)),NOT(ISNUMBER(Q155))),"待补充",IF(OR(Q155&lt;0,Q155&lt;&gt;INT(Q155)),"检查输入",ROUND(Q155*T155-U155,4))))</f>
        <v/>
      </c>
    </row>
    <row r="156" spans="18:23" ht="34" customHeight="1">
      <c r="R156" s="10">
        <f>IF(A156="","",IF(COUNT(G156,L156)&lt;2,"待补充",IF(OR(G156&lt;0,L156&lt;0,L156&gt;1),"检查输入",G156*L156)))</f>
        <v/>
      </c>
      <c r="S156" s="10">
        <f>IF(A156="","",IF(COUNT(M156:N156)&lt;2,"待补充",IF(OR(M156&lt;0,M156&gt;1,N156&lt;0),"检查输入",M156*N156)))</f>
        <v/>
      </c>
      <c r="T156" s="10">
        <f>IF(A156="","",IF(COUNT(F156:N156)&lt;9,"待补充",IF(OR(MIN(F156:N156)&lt;0,L156&gt;1,M156&gt;1),"检查输入",ROUND(F156-SUM(H156:K156)-R156-S156,4))))</f>
        <v/>
      </c>
      <c r="U156" s="10">
        <f>IF(A156="","",IF(COUNT(O156:P156)&lt;2,"待补充",IF(MIN(O156:P156)&lt;0,"检查输入",SUM(O156:P156))))</f>
        <v/>
      </c>
      <c r="V156" s="9">
        <f>IF(A156="","",IF(OR(T156="检查输入",U156="检查输入"),"检查输入",IF(OR(NOT(ISNUMBER(T156)),NOT(ISNUMBER(U156))),"待补充",IF(T156&lt;=0,"不可保本",IFERROR(ROUNDUP(U156/T156,0),"检查输入")))))</f>
        <v/>
      </c>
      <c r="W156" s="10">
        <f>IF(A156="","",IF(OR(NOT(ISNUMBER(T156)),NOT(ISNUMBER(U156)),NOT(ISNUMBER(Q156))),"待补充",IF(OR(Q156&lt;0,Q156&lt;&gt;INT(Q156)),"检查输入",ROUND(Q156*T156-U156,4))))</f>
        <v/>
      </c>
    </row>
    <row r="157" spans="18:23" ht="34" customHeight="1">
      <c r="R157" s="10">
        <f>IF(A157="","",IF(COUNT(G157,L157)&lt;2,"待补充",IF(OR(G157&lt;0,L157&lt;0,L157&gt;1),"检查输入",G157*L157)))</f>
        <v/>
      </c>
      <c r="S157" s="10">
        <f>IF(A157="","",IF(COUNT(M157:N157)&lt;2,"待补充",IF(OR(M157&lt;0,M157&gt;1,N157&lt;0),"检查输入",M157*N157)))</f>
        <v/>
      </c>
      <c r="T157" s="10">
        <f>IF(A157="","",IF(COUNT(F157:N157)&lt;9,"待补充",IF(OR(MIN(F157:N157)&lt;0,L157&gt;1,M157&gt;1),"检查输入",ROUND(F157-SUM(H157:K157)-R157-S157,4))))</f>
        <v/>
      </c>
      <c r="U157" s="10">
        <f>IF(A157="","",IF(COUNT(O157:P157)&lt;2,"待补充",IF(MIN(O157:P157)&lt;0,"检查输入",SUM(O157:P157))))</f>
        <v/>
      </c>
      <c r="V157" s="9">
        <f>IF(A157="","",IF(OR(T157="检查输入",U157="检查输入"),"检查输入",IF(OR(NOT(ISNUMBER(T157)),NOT(ISNUMBER(U157))),"待补充",IF(T157&lt;=0,"不可保本",IFERROR(ROUNDUP(U157/T157,0),"检查输入")))))</f>
        <v/>
      </c>
      <c r="W157" s="10">
        <f>IF(A157="","",IF(OR(NOT(ISNUMBER(T157)),NOT(ISNUMBER(U157)),NOT(ISNUMBER(Q157))),"待补充",IF(OR(Q157&lt;0,Q157&lt;&gt;INT(Q157)),"检查输入",ROUND(Q157*T157-U157,4))))</f>
        <v/>
      </c>
    </row>
    <row r="158" spans="18:23" ht="34" customHeight="1">
      <c r="R158" s="10">
        <f>IF(A158="","",IF(COUNT(G158,L158)&lt;2,"待补充",IF(OR(G158&lt;0,L158&lt;0,L158&gt;1),"检查输入",G158*L158)))</f>
        <v/>
      </c>
      <c r="S158" s="10">
        <f>IF(A158="","",IF(COUNT(M158:N158)&lt;2,"待补充",IF(OR(M158&lt;0,M158&gt;1,N158&lt;0),"检查输入",M158*N158)))</f>
        <v/>
      </c>
      <c r="T158" s="10">
        <f>IF(A158="","",IF(COUNT(F158:N158)&lt;9,"待补充",IF(OR(MIN(F158:N158)&lt;0,L158&gt;1,M158&gt;1),"检查输入",ROUND(F158-SUM(H158:K158)-R158-S158,4))))</f>
        <v/>
      </c>
      <c r="U158" s="10">
        <f>IF(A158="","",IF(COUNT(O158:P158)&lt;2,"待补充",IF(MIN(O158:P158)&lt;0,"检查输入",SUM(O158:P158))))</f>
        <v/>
      </c>
      <c r="V158" s="9">
        <f>IF(A158="","",IF(OR(T158="检查输入",U158="检查输入"),"检查输入",IF(OR(NOT(ISNUMBER(T158)),NOT(ISNUMBER(U158))),"待补充",IF(T158&lt;=0,"不可保本",IFERROR(ROUNDUP(U158/T158,0),"检查输入")))))</f>
        <v/>
      </c>
      <c r="W158" s="10">
        <f>IF(A158="","",IF(OR(NOT(ISNUMBER(T158)),NOT(ISNUMBER(U158)),NOT(ISNUMBER(Q158))),"待补充",IF(OR(Q158&lt;0,Q158&lt;&gt;INT(Q158)),"检查输入",ROUND(Q158*T158-U158,4))))</f>
        <v/>
      </c>
    </row>
    <row r="159" spans="18:23" ht="34" customHeight="1">
      <c r="R159" s="10">
        <f>IF(A159="","",IF(COUNT(G159,L159)&lt;2,"待补充",IF(OR(G159&lt;0,L159&lt;0,L159&gt;1),"检查输入",G159*L159)))</f>
        <v/>
      </c>
      <c r="S159" s="10">
        <f>IF(A159="","",IF(COUNT(M159:N159)&lt;2,"待补充",IF(OR(M159&lt;0,M159&gt;1,N159&lt;0),"检查输入",M159*N159)))</f>
        <v/>
      </c>
      <c r="T159" s="10">
        <f>IF(A159="","",IF(COUNT(F159:N159)&lt;9,"待补充",IF(OR(MIN(F159:N159)&lt;0,L159&gt;1,M159&gt;1),"检查输入",ROUND(F159-SUM(H159:K159)-R159-S159,4))))</f>
        <v/>
      </c>
      <c r="U159" s="10">
        <f>IF(A159="","",IF(COUNT(O159:P159)&lt;2,"待补充",IF(MIN(O159:P159)&lt;0,"检查输入",SUM(O159:P159))))</f>
        <v/>
      </c>
      <c r="V159" s="9">
        <f>IF(A159="","",IF(OR(T159="检查输入",U159="检查输入"),"检查输入",IF(OR(NOT(ISNUMBER(T159)),NOT(ISNUMBER(U159))),"待补充",IF(T159&lt;=0,"不可保本",IFERROR(ROUNDUP(U159/T159,0),"检查输入")))))</f>
        <v/>
      </c>
      <c r="W159" s="10">
        <f>IF(A159="","",IF(OR(NOT(ISNUMBER(T159)),NOT(ISNUMBER(U159)),NOT(ISNUMBER(Q159))),"待补充",IF(OR(Q159&lt;0,Q159&lt;&gt;INT(Q159)),"检查输入",ROUND(Q159*T159-U159,4))))</f>
        <v/>
      </c>
    </row>
    <row r="160" spans="18:23" ht="34" customHeight="1">
      <c r="R160" s="10">
        <f>IF(A160="","",IF(COUNT(G160,L160)&lt;2,"待补充",IF(OR(G160&lt;0,L160&lt;0,L160&gt;1),"检查输入",G160*L160)))</f>
        <v/>
      </c>
      <c r="S160" s="10">
        <f>IF(A160="","",IF(COUNT(M160:N160)&lt;2,"待补充",IF(OR(M160&lt;0,M160&gt;1,N160&lt;0),"检查输入",M160*N160)))</f>
        <v/>
      </c>
      <c r="T160" s="10">
        <f>IF(A160="","",IF(COUNT(F160:N160)&lt;9,"待补充",IF(OR(MIN(F160:N160)&lt;0,L160&gt;1,M160&gt;1),"检查输入",ROUND(F160-SUM(H160:K160)-R160-S160,4))))</f>
        <v/>
      </c>
      <c r="U160" s="10">
        <f>IF(A160="","",IF(COUNT(O160:P160)&lt;2,"待补充",IF(MIN(O160:P160)&lt;0,"检查输入",SUM(O160:P160))))</f>
        <v/>
      </c>
      <c r="V160" s="9">
        <f>IF(A160="","",IF(OR(T160="检查输入",U160="检查输入"),"检查输入",IF(OR(NOT(ISNUMBER(T160)),NOT(ISNUMBER(U160))),"待补充",IF(T160&lt;=0,"不可保本",IFERROR(ROUNDUP(U160/T160,0),"检查输入")))))</f>
        <v/>
      </c>
      <c r="W160" s="10">
        <f>IF(A160="","",IF(OR(NOT(ISNUMBER(T160)),NOT(ISNUMBER(U160)),NOT(ISNUMBER(Q160))),"待补充",IF(OR(Q160&lt;0,Q160&lt;&gt;INT(Q160)),"检查输入",ROUND(Q160*T160-U160,4))))</f>
        <v/>
      </c>
    </row>
    <row r="161" spans="18:23" ht="34" customHeight="1">
      <c r="R161" s="10">
        <f>IF(A161="","",IF(COUNT(G161,L161)&lt;2,"待补充",IF(OR(G161&lt;0,L161&lt;0,L161&gt;1),"检查输入",G161*L161)))</f>
        <v/>
      </c>
      <c r="S161" s="10">
        <f>IF(A161="","",IF(COUNT(M161:N161)&lt;2,"待补充",IF(OR(M161&lt;0,M161&gt;1,N161&lt;0),"检查输入",M161*N161)))</f>
        <v/>
      </c>
      <c r="T161" s="10">
        <f>IF(A161="","",IF(COUNT(F161:N161)&lt;9,"待补充",IF(OR(MIN(F161:N161)&lt;0,L161&gt;1,M161&gt;1),"检查输入",ROUND(F161-SUM(H161:K161)-R161-S161,4))))</f>
        <v/>
      </c>
      <c r="U161" s="10">
        <f>IF(A161="","",IF(COUNT(O161:P161)&lt;2,"待补充",IF(MIN(O161:P161)&lt;0,"检查输入",SUM(O161:P161))))</f>
        <v/>
      </c>
      <c r="V161" s="9">
        <f>IF(A161="","",IF(OR(T161="检查输入",U161="检查输入"),"检查输入",IF(OR(NOT(ISNUMBER(T161)),NOT(ISNUMBER(U161))),"待补充",IF(T161&lt;=0,"不可保本",IFERROR(ROUNDUP(U161/T161,0),"检查输入")))))</f>
        <v/>
      </c>
      <c r="W161" s="10">
        <f>IF(A161="","",IF(OR(NOT(ISNUMBER(T161)),NOT(ISNUMBER(U161)),NOT(ISNUMBER(Q161))),"待补充",IF(OR(Q161&lt;0,Q161&lt;&gt;INT(Q161)),"检查输入",ROUND(Q161*T161-U161,4))))</f>
        <v/>
      </c>
    </row>
    <row r="162" spans="18:23" ht="34" customHeight="1">
      <c r="R162" s="10">
        <f>IF(A162="","",IF(COUNT(G162,L162)&lt;2,"待补充",IF(OR(G162&lt;0,L162&lt;0,L162&gt;1),"检查输入",G162*L162)))</f>
        <v/>
      </c>
      <c r="S162" s="10">
        <f>IF(A162="","",IF(COUNT(M162:N162)&lt;2,"待补充",IF(OR(M162&lt;0,M162&gt;1,N162&lt;0),"检查输入",M162*N162)))</f>
        <v/>
      </c>
      <c r="T162" s="10">
        <f>IF(A162="","",IF(COUNT(F162:N162)&lt;9,"待补充",IF(OR(MIN(F162:N162)&lt;0,L162&gt;1,M162&gt;1),"检查输入",ROUND(F162-SUM(H162:K162)-R162-S162,4))))</f>
        <v/>
      </c>
      <c r="U162" s="10">
        <f>IF(A162="","",IF(COUNT(O162:P162)&lt;2,"待补充",IF(MIN(O162:P162)&lt;0,"检查输入",SUM(O162:P162))))</f>
        <v/>
      </c>
      <c r="V162" s="9">
        <f>IF(A162="","",IF(OR(T162="检查输入",U162="检查输入"),"检查输入",IF(OR(NOT(ISNUMBER(T162)),NOT(ISNUMBER(U162))),"待补充",IF(T162&lt;=0,"不可保本",IFERROR(ROUNDUP(U162/T162,0),"检查输入")))))</f>
        <v/>
      </c>
      <c r="W162" s="10">
        <f>IF(A162="","",IF(OR(NOT(ISNUMBER(T162)),NOT(ISNUMBER(U162)),NOT(ISNUMBER(Q162))),"待补充",IF(OR(Q162&lt;0,Q162&lt;&gt;INT(Q162)),"检查输入",ROUND(Q162*T162-U162,4))))</f>
        <v/>
      </c>
    </row>
    <row r="163" spans="18:23" ht="34" customHeight="1">
      <c r="R163" s="10">
        <f>IF(A163="","",IF(COUNT(G163,L163)&lt;2,"待补充",IF(OR(G163&lt;0,L163&lt;0,L163&gt;1),"检查输入",G163*L163)))</f>
        <v/>
      </c>
      <c r="S163" s="10">
        <f>IF(A163="","",IF(COUNT(M163:N163)&lt;2,"待补充",IF(OR(M163&lt;0,M163&gt;1,N163&lt;0),"检查输入",M163*N163)))</f>
        <v/>
      </c>
      <c r="T163" s="10">
        <f>IF(A163="","",IF(COUNT(F163:N163)&lt;9,"待补充",IF(OR(MIN(F163:N163)&lt;0,L163&gt;1,M163&gt;1),"检查输入",ROUND(F163-SUM(H163:K163)-R163-S163,4))))</f>
        <v/>
      </c>
      <c r="U163" s="10">
        <f>IF(A163="","",IF(COUNT(O163:P163)&lt;2,"待补充",IF(MIN(O163:P163)&lt;0,"检查输入",SUM(O163:P163))))</f>
        <v/>
      </c>
      <c r="V163" s="9">
        <f>IF(A163="","",IF(OR(T163="检查输入",U163="检查输入"),"检查输入",IF(OR(NOT(ISNUMBER(T163)),NOT(ISNUMBER(U163))),"待补充",IF(T163&lt;=0,"不可保本",IFERROR(ROUNDUP(U163/T163,0),"检查输入")))))</f>
        <v/>
      </c>
      <c r="W163" s="10">
        <f>IF(A163="","",IF(OR(NOT(ISNUMBER(T163)),NOT(ISNUMBER(U163)),NOT(ISNUMBER(Q163))),"待补充",IF(OR(Q163&lt;0,Q163&lt;&gt;INT(Q163)),"检查输入",ROUND(Q163*T163-U163,4))))</f>
        <v/>
      </c>
    </row>
    <row r="164" spans="18:23" ht="34" customHeight="1">
      <c r="R164" s="10">
        <f>IF(A164="","",IF(COUNT(G164,L164)&lt;2,"待补充",IF(OR(G164&lt;0,L164&lt;0,L164&gt;1),"检查输入",G164*L164)))</f>
        <v/>
      </c>
      <c r="S164" s="10">
        <f>IF(A164="","",IF(COUNT(M164:N164)&lt;2,"待补充",IF(OR(M164&lt;0,M164&gt;1,N164&lt;0),"检查输入",M164*N164)))</f>
        <v/>
      </c>
      <c r="T164" s="10">
        <f>IF(A164="","",IF(COUNT(F164:N164)&lt;9,"待补充",IF(OR(MIN(F164:N164)&lt;0,L164&gt;1,M164&gt;1),"检查输入",ROUND(F164-SUM(H164:K164)-R164-S164,4))))</f>
        <v/>
      </c>
      <c r="U164" s="10">
        <f>IF(A164="","",IF(COUNT(O164:P164)&lt;2,"待补充",IF(MIN(O164:P164)&lt;0,"检查输入",SUM(O164:P164))))</f>
        <v/>
      </c>
      <c r="V164" s="9">
        <f>IF(A164="","",IF(OR(T164="检查输入",U164="检查输入"),"检查输入",IF(OR(NOT(ISNUMBER(T164)),NOT(ISNUMBER(U164))),"待补充",IF(T164&lt;=0,"不可保本",IFERROR(ROUNDUP(U164/T164,0),"检查输入")))))</f>
        <v/>
      </c>
      <c r="W164" s="10">
        <f>IF(A164="","",IF(OR(NOT(ISNUMBER(T164)),NOT(ISNUMBER(U164)),NOT(ISNUMBER(Q164))),"待补充",IF(OR(Q164&lt;0,Q164&lt;&gt;INT(Q164)),"检查输入",ROUND(Q164*T164-U164,4))))</f>
        <v/>
      </c>
    </row>
    <row r="165" spans="18:23" ht="34" customHeight="1">
      <c r="R165" s="10">
        <f>IF(A165="","",IF(COUNT(G165,L165)&lt;2,"待补充",IF(OR(G165&lt;0,L165&lt;0,L165&gt;1),"检查输入",G165*L165)))</f>
        <v/>
      </c>
      <c r="S165" s="10">
        <f>IF(A165="","",IF(COUNT(M165:N165)&lt;2,"待补充",IF(OR(M165&lt;0,M165&gt;1,N165&lt;0),"检查输入",M165*N165)))</f>
        <v/>
      </c>
      <c r="T165" s="10">
        <f>IF(A165="","",IF(COUNT(F165:N165)&lt;9,"待补充",IF(OR(MIN(F165:N165)&lt;0,L165&gt;1,M165&gt;1),"检查输入",ROUND(F165-SUM(H165:K165)-R165-S165,4))))</f>
        <v/>
      </c>
      <c r="U165" s="10">
        <f>IF(A165="","",IF(COUNT(O165:P165)&lt;2,"待补充",IF(MIN(O165:P165)&lt;0,"检查输入",SUM(O165:P165))))</f>
        <v/>
      </c>
      <c r="V165" s="9">
        <f>IF(A165="","",IF(OR(T165="检查输入",U165="检查输入"),"检查输入",IF(OR(NOT(ISNUMBER(T165)),NOT(ISNUMBER(U165))),"待补充",IF(T165&lt;=0,"不可保本",IFERROR(ROUNDUP(U165/T165,0),"检查输入")))))</f>
        <v/>
      </c>
      <c r="W165" s="10">
        <f>IF(A165="","",IF(OR(NOT(ISNUMBER(T165)),NOT(ISNUMBER(U165)),NOT(ISNUMBER(Q165))),"待补充",IF(OR(Q165&lt;0,Q165&lt;&gt;INT(Q165)),"检查输入",ROUND(Q165*T165-U165,4))))</f>
        <v/>
      </c>
    </row>
    <row r="166" spans="18:23" ht="34" customHeight="1">
      <c r="R166" s="10">
        <f>IF(A166="","",IF(COUNT(G166,L166)&lt;2,"待补充",IF(OR(G166&lt;0,L166&lt;0,L166&gt;1),"检查输入",G166*L166)))</f>
        <v/>
      </c>
      <c r="S166" s="10">
        <f>IF(A166="","",IF(COUNT(M166:N166)&lt;2,"待补充",IF(OR(M166&lt;0,M166&gt;1,N166&lt;0),"检查输入",M166*N166)))</f>
        <v/>
      </c>
      <c r="T166" s="10">
        <f>IF(A166="","",IF(COUNT(F166:N166)&lt;9,"待补充",IF(OR(MIN(F166:N166)&lt;0,L166&gt;1,M166&gt;1),"检查输入",ROUND(F166-SUM(H166:K166)-R166-S166,4))))</f>
        <v/>
      </c>
      <c r="U166" s="10">
        <f>IF(A166="","",IF(COUNT(O166:P166)&lt;2,"待补充",IF(MIN(O166:P166)&lt;0,"检查输入",SUM(O166:P166))))</f>
        <v/>
      </c>
      <c r="V166" s="9">
        <f>IF(A166="","",IF(OR(T166="检查输入",U166="检查输入"),"检查输入",IF(OR(NOT(ISNUMBER(T166)),NOT(ISNUMBER(U166))),"待补充",IF(T166&lt;=0,"不可保本",IFERROR(ROUNDUP(U166/T166,0),"检查输入")))))</f>
        <v/>
      </c>
      <c r="W166" s="10">
        <f>IF(A166="","",IF(OR(NOT(ISNUMBER(T166)),NOT(ISNUMBER(U166)),NOT(ISNUMBER(Q166))),"待补充",IF(OR(Q166&lt;0,Q166&lt;&gt;INT(Q166)),"检查输入",ROUND(Q166*T166-U166,4))))</f>
        <v/>
      </c>
    </row>
    <row r="167" spans="18:23" ht="34" customHeight="1">
      <c r="R167" s="10">
        <f>IF(A167="","",IF(COUNT(G167,L167)&lt;2,"待补充",IF(OR(G167&lt;0,L167&lt;0,L167&gt;1),"检查输入",G167*L167)))</f>
        <v/>
      </c>
      <c r="S167" s="10">
        <f>IF(A167="","",IF(COUNT(M167:N167)&lt;2,"待补充",IF(OR(M167&lt;0,M167&gt;1,N167&lt;0),"检查输入",M167*N167)))</f>
        <v/>
      </c>
      <c r="T167" s="10">
        <f>IF(A167="","",IF(COUNT(F167:N167)&lt;9,"待补充",IF(OR(MIN(F167:N167)&lt;0,L167&gt;1,M167&gt;1),"检查输入",ROUND(F167-SUM(H167:K167)-R167-S167,4))))</f>
        <v/>
      </c>
      <c r="U167" s="10">
        <f>IF(A167="","",IF(COUNT(O167:P167)&lt;2,"待补充",IF(MIN(O167:P167)&lt;0,"检查输入",SUM(O167:P167))))</f>
        <v/>
      </c>
      <c r="V167" s="9">
        <f>IF(A167="","",IF(OR(T167="检查输入",U167="检查输入"),"检查输入",IF(OR(NOT(ISNUMBER(T167)),NOT(ISNUMBER(U167))),"待补充",IF(T167&lt;=0,"不可保本",IFERROR(ROUNDUP(U167/T167,0),"检查输入")))))</f>
        <v/>
      </c>
      <c r="W167" s="10">
        <f>IF(A167="","",IF(OR(NOT(ISNUMBER(T167)),NOT(ISNUMBER(U167)),NOT(ISNUMBER(Q167))),"待补充",IF(OR(Q167&lt;0,Q167&lt;&gt;INT(Q167)),"检查输入",ROUND(Q167*T167-U167,4))))</f>
        <v/>
      </c>
    </row>
    <row r="168" spans="18:23" ht="34" customHeight="1">
      <c r="R168" s="10">
        <f>IF(A168="","",IF(COUNT(G168,L168)&lt;2,"待补充",IF(OR(G168&lt;0,L168&lt;0,L168&gt;1),"检查输入",G168*L168)))</f>
        <v/>
      </c>
      <c r="S168" s="10">
        <f>IF(A168="","",IF(COUNT(M168:N168)&lt;2,"待补充",IF(OR(M168&lt;0,M168&gt;1,N168&lt;0),"检查输入",M168*N168)))</f>
        <v/>
      </c>
      <c r="T168" s="10">
        <f>IF(A168="","",IF(COUNT(F168:N168)&lt;9,"待补充",IF(OR(MIN(F168:N168)&lt;0,L168&gt;1,M168&gt;1),"检查输入",ROUND(F168-SUM(H168:K168)-R168-S168,4))))</f>
        <v/>
      </c>
      <c r="U168" s="10">
        <f>IF(A168="","",IF(COUNT(O168:P168)&lt;2,"待补充",IF(MIN(O168:P168)&lt;0,"检查输入",SUM(O168:P168))))</f>
        <v/>
      </c>
      <c r="V168" s="9">
        <f>IF(A168="","",IF(OR(T168="检查输入",U168="检查输入"),"检查输入",IF(OR(NOT(ISNUMBER(T168)),NOT(ISNUMBER(U168))),"待补充",IF(T168&lt;=0,"不可保本",IFERROR(ROUNDUP(U168/T168,0),"检查输入")))))</f>
        <v/>
      </c>
      <c r="W168" s="10">
        <f>IF(A168="","",IF(OR(NOT(ISNUMBER(T168)),NOT(ISNUMBER(U168)),NOT(ISNUMBER(Q168))),"待补充",IF(OR(Q168&lt;0,Q168&lt;&gt;INT(Q168)),"检查输入",ROUND(Q168*T168-U168,4))))</f>
        <v/>
      </c>
    </row>
    <row r="169" spans="18:23" ht="34" customHeight="1">
      <c r="R169" s="10">
        <f>IF(A169="","",IF(COUNT(G169,L169)&lt;2,"待补充",IF(OR(G169&lt;0,L169&lt;0,L169&gt;1),"检查输入",G169*L169)))</f>
        <v/>
      </c>
      <c r="S169" s="10">
        <f>IF(A169="","",IF(COUNT(M169:N169)&lt;2,"待补充",IF(OR(M169&lt;0,M169&gt;1,N169&lt;0),"检查输入",M169*N169)))</f>
        <v/>
      </c>
      <c r="T169" s="10">
        <f>IF(A169="","",IF(COUNT(F169:N169)&lt;9,"待补充",IF(OR(MIN(F169:N169)&lt;0,L169&gt;1,M169&gt;1),"检查输入",ROUND(F169-SUM(H169:K169)-R169-S169,4))))</f>
        <v/>
      </c>
      <c r="U169" s="10">
        <f>IF(A169="","",IF(COUNT(O169:P169)&lt;2,"待补充",IF(MIN(O169:P169)&lt;0,"检查输入",SUM(O169:P169))))</f>
        <v/>
      </c>
      <c r="V169" s="9">
        <f>IF(A169="","",IF(OR(T169="检查输入",U169="检查输入"),"检查输入",IF(OR(NOT(ISNUMBER(T169)),NOT(ISNUMBER(U169))),"待补充",IF(T169&lt;=0,"不可保本",IFERROR(ROUNDUP(U169/T169,0),"检查输入")))))</f>
        <v/>
      </c>
      <c r="W169" s="10">
        <f>IF(A169="","",IF(OR(NOT(ISNUMBER(T169)),NOT(ISNUMBER(U169)),NOT(ISNUMBER(Q169))),"待补充",IF(OR(Q169&lt;0,Q169&lt;&gt;INT(Q169)),"检查输入",ROUND(Q169*T169-U169,4))))</f>
        <v/>
      </c>
    </row>
    <row r="170" spans="18:23" ht="34" customHeight="1">
      <c r="R170" s="10">
        <f>IF(A170="","",IF(COUNT(G170,L170)&lt;2,"待补充",IF(OR(G170&lt;0,L170&lt;0,L170&gt;1),"检查输入",G170*L170)))</f>
        <v/>
      </c>
      <c r="S170" s="10">
        <f>IF(A170="","",IF(COUNT(M170:N170)&lt;2,"待补充",IF(OR(M170&lt;0,M170&gt;1,N170&lt;0),"检查输入",M170*N170)))</f>
        <v/>
      </c>
      <c r="T170" s="10">
        <f>IF(A170="","",IF(COUNT(F170:N170)&lt;9,"待补充",IF(OR(MIN(F170:N170)&lt;0,L170&gt;1,M170&gt;1),"检查输入",ROUND(F170-SUM(H170:K170)-R170-S170,4))))</f>
        <v/>
      </c>
      <c r="U170" s="10">
        <f>IF(A170="","",IF(COUNT(O170:P170)&lt;2,"待补充",IF(MIN(O170:P170)&lt;0,"检查输入",SUM(O170:P170))))</f>
        <v/>
      </c>
      <c r="V170" s="9">
        <f>IF(A170="","",IF(OR(T170="检查输入",U170="检查输入"),"检查输入",IF(OR(NOT(ISNUMBER(T170)),NOT(ISNUMBER(U170))),"待补充",IF(T170&lt;=0,"不可保本",IFERROR(ROUNDUP(U170/T170,0),"检查输入")))))</f>
        <v/>
      </c>
      <c r="W170" s="10">
        <f>IF(A170="","",IF(OR(NOT(ISNUMBER(T170)),NOT(ISNUMBER(U170)),NOT(ISNUMBER(Q170))),"待补充",IF(OR(Q170&lt;0,Q170&lt;&gt;INT(Q170)),"检查输入",ROUND(Q170*T170-U170,4))))</f>
        <v/>
      </c>
    </row>
    <row r="171" spans="18:23" ht="34" customHeight="1">
      <c r="R171" s="10">
        <f>IF(A171="","",IF(COUNT(G171,L171)&lt;2,"待补充",IF(OR(G171&lt;0,L171&lt;0,L171&gt;1),"检查输入",G171*L171)))</f>
        <v/>
      </c>
      <c r="S171" s="10">
        <f>IF(A171="","",IF(COUNT(M171:N171)&lt;2,"待补充",IF(OR(M171&lt;0,M171&gt;1,N171&lt;0),"检查输入",M171*N171)))</f>
        <v/>
      </c>
      <c r="T171" s="10">
        <f>IF(A171="","",IF(COUNT(F171:N171)&lt;9,"待补充",IF(OR(MIN(F171:N171)&lt;0,L171&gt;1,M171&gt;1),"检查输入",ROUND(F171-SUM(H171:K171)-R171-S171,4))))</f>
        <v/>
      </c>
      <c r="U171" s="10">
        <f>IF(A171="","",IF(COUNT(O171:P171)&lt;2,"待补充",IF(MIN(O171:P171)&lt;0,"检查输入",SUM(O171:P171))))</f>
        <v/>
      </c>
      <c r="V171" s="9">
        <f>IF(A171="","",IF(OR(T171="检查输入",U171="检查输入"),"检查输入",IF(OR(NOT(ISNUMBER(T171)),NOT(ISNUMBER(U171))),"待补充",IF(T171&lt;=0,"不可保本",IFERROR(ROUNDUP(U171/T171,0),"检查输入")))))</f>
        <v/>
      </c>
      <c r="W171" s="10">
        <f>IF(A171="","",IF(OR(NOT(ISNUMBER(T171)),NOT(ISNUMBER(U171)),NOT(ISNUMBER(Q171))),"待补充",IF(OR(Q171&lt;0,Q171&lt;&gt;INT(Q171)),"检查输入",ROUND(Q171*T171-U171,4))))</f>
        <v/>
      </c>
    </row>
    <row r="172" spans="18:23" ht="34" customHeight="1">
      <c r="R172" s="10">
        <f>IF(A172="","",IF(COUNT(G172,L172)&lt;2,"待补充",IF(OR(G172&lt;0,L172&lt;0,L172&gt;1),"检查输入",G172*L172)))</f>
        <v/>
      </c>
      <c r="S172" s="10">
        <f>IF(A172="","",IF(COUNT(M172:N172)&lt;2,"待补充",IF(OR(M172&lt;0,M172&gt;1,N172&lt;0),"检查输入",M172*N172)))</f>
        <v/>
      </c>
      <c r="T172" s="10">
        <f>IF(A172="","",IF(COUNT(F172:N172)&lt;9,"待补充",IF(OR(MIN(F172:N172)&lt;0,L172&gt;1,M172&gt;1),"检查输入",ROUND(F172-SUM(H172:K172)-R172-S172,4))))</f>
        <v/>
      </c>
      <c r="U172" s="10">
        <f>IF(A172="","",IF(COUNT(O172:P172)&lt;2,"待补充",IF(MIN(O172:P172)&lt;0,"检查输入",SUM(O172:P172))))</f>
        <v/>
      </c>
      <c r="V172" s="9">
        <f>IF(A172="","",IF(OR(T172="检查输入",U172="检查输入"),"检查输入",IF(OR(NOT(ISNUMBER(T172)),NOT(ISNUMBER(U172))),"待补充",IF(T172&lt;=0,"不可保本",IFERROR(ROUNDUP(U172/T172,0),"检查输入")))))</f>
        <v/>
      </c>
      <c r="W172" s="10">
        <f>IF(A172="","",IF(OR(NOT(ISNUMBER(T172)),NOT(ISNUMBER(U172)),NOT(ISNUMBER(Q172))),"待补充",IF(OR(Q172&lt;0,Q172&lt;&gt;INT(Q172)),"检查输入",ROUND(Q172*T172-U172,4))))</f>
        <v/>
      </c>
    </row>
    <row r="173" spans="18:23" ht="34" customHeight="1">
      <c r="R173" s="10">
        <f>IF(A173="","",IF(COUNT(G173,L173)&lt;2,"待补充",IF(OR(G173&lt;0,L173&lt;0,L173&gt;1),"检查输入",G173*L173)))</f>
        <v/>
      </c>
      <c r="S173" s="10">
        <f>IF(A173="","",IF(COUNT(M173:N173)&lt;2,"待补充",IF(OR(M173&lt;0,M173&gt;1,N173&lt;0),"检查输入",M173*N173)))</f>
        <v/>
      </c>
      <c r="T173" s="10">
        <f>IF(A173="","",IF(COUNT(F173:N173)&lt;9,"待补充",IF(OR(MIN(F173:N173)&lt;0,L173&gt;1,M173&gt;1),"检查输入",ROUND(F173-SUM(H173:K173)-R173-S173,4))))</f>
        <v/>
      </c>
      <c r="U173" s="10">
        <f>IF(A173="","",IF(COUNT(O173:P173)&lt;2,"待补充",IF(MIN(O173:P173)&lt;0,"检查输入",SUM(O173:P173))))</f>
        <v/>
      </c>
      <c r="V173" s="9">
        <f>IF(A173="","",IF(OR(T173="检查输入",U173="检查输入"),"检查输入",IF(OR(NOT(ISNUMBER(T173)),NOT(ISNUMBER(U173))),"待补充",IF(T173&lt;=0,"不可保本",IFERROR(ROUNDUP(U173/T173,0),"检查输入")))))</f>
        <v/>
      </c>
      <c r="W173" s="10">
        <f>IF(A173="","",IF(OR(NOT(ISNUMBER(T173)),NOT(ISNUMBER(U173)),NOT(ISNUMBER(Q173))),"待补充",IF(OR(Q173&lt;0,Q173&lt;&gt;INT(Q173)),"检查输入",ROUND(Q173*T173-U173,4))))</f>
        <v/>
      </c>
    </row>
    <row r="174" spans="18:23" ht="34" customHeight="1">
      <c r="R174" s="10">
        <f>IF(A174="","",IF(COUNT(G174,L174)&lt;2,"待补充",IF(OR(G174&lt;0,L174&lt;0,L174&gt;1),"检查输入",G174*L174)))</f>
        <v/>
      </c>
      <c r="S174" s="10">
        <f>IF(A174="","",IF(COUNT(M174:N174)&lt;2,"待补充",IF(OR(M174&lt;0,M174&gt;1,N174&lt;0),"检查输入",M174*N174)))</f>
        <v/>
      </c>
      <c r="T174" s="10">
        <f>IF(A174="","",IF(COUNT(F174:N174)&lt;9,"待补充",IF(OR(MIN(F174:N174)&lt;0,L174&gt;1,M174&gt;1),"检查输入",ROUND(F174-SUM(H174:K174)-R174-S174,4))))</f>
        <v/>
      </c>
      <c r="U174" s="10">
        <f>IF(A174="","",IF(COUNT(O174:P174)&lt;2,"待补充",IF(MIN(O174:P174)&lt;0,"检查输入",SUM(O174:P174))))</f>
        <v/>
      </c>
      <c r="V174" s="9">
        <f>IF(A174="","",IF(OR(T174="检查输入",U174="检查输入"),"检查输入",IF(OR(NOT(ISNUMBER(T174)),NOT(ISNUMBER(U174))),"待补充",IF(T174&lt;=0,"不可保本",IFERROR(ROUNDUP(U174/T174,0),"检查输入")))))</f>
        <v/>
      </c>
      <c r="W174" s="10">
        <f>IF(A174="","",IF(OR(NOT(ISNUMBER(T174)),NOT(ISNUMBER(U174)),NOT(ISNUMBER(Q174))),"待补充",IF(OR(Q174&lt;0,Q174&lt;&gt;INT(Q174)),"检查输入",ROUND(Q174*T174-U174,4))))</f>
        <v/>
      </c>
    </row>
    <row r="175" spans="18:23" ht="34" customHeight="1">
      <c r="R175" s="10">
        <f>IF(A175="","",IF(COUNT(G175,L175)&lt;2,"待补充",IF(OR(G175&lt;0,L175&lt;0,L175&gt;1),"检查输入",G175*L175)))</f>
        <v/>
      </c>
      <c r="S175" s="10">
        <f>IF(A175="","",IF(COUNT(M175:N175)&lt;2,"待补充",IF(OR(M175&lt;0,M175&gt;1,N175&lt;0),"检查输入",M175*N175)))</f>
        <v/>
      </c>
      <c r="T175" s="10">
        <f>IF(A175="","",IF(COUNT(F175:N175)&lt;9,"待补充",IF(OR(MIN(F175:N175)&lt;0,L175&gt;1,M175&gt;1),"检查输入",ROUND(F175-SUM(H175:K175)-R175-S175,4))))</f>
        <v/>
      </c>
      <c r="U175" s="10">
        <f>IF(A175="","",IF(COUNT(O175:P175)&lt;2,"待补充",IF(MIN(O175:P175)&lt;0,"检查输入",SUM(O175:P175))))</f>
        <v/>
      </c>
      <c r="V175" s="9">
        <f>IF(A175="","",IF(OR(T175="检查输入",U175="检查输入"),"检查输入",IF(OR(NOT(ISNUMBER(T175)),NOT(ISNUMBER(U175))),"待补充",IF(T175&lt;=0,"不可保本",IFERROR(ROUNDUP(U175/T175,0),"检查输入")))))</f>
        <v/>
      </c>
      <c r="W175" s="10">
        <f>IF(A175="","",IF(OR(NOT(ISNUMBER(T175)),NOT(ISNUMBER(U175)),NOT(ISNUMBER(Q175))),"待补充",IF(OR(Q175&lt;0,Q175&lt;&gt;INT(Q175)),"检查输入",ROUND(Q175*T175-U175,4))))</f>
        <v/>
      </c>
    </row>
    <row r="176" spans="18:23" ht="34" customHeight="1">
      <c r="R176" s="10">
        <f>IF(A176="","",IF(COUNT(G176,L176)&lt;2,"待补充",IF(OR(G176&lt;0,L176&lt;0,L176&gt;1),"检查输入",G176*L176)))</f>
        <v/>
      </c>
      <c r="S176" s="10">
        <f>IF(A176="","",IF(COUNT(M176:N176)&lt;2,"待补充",IF(OR(M176&lt;0,M176&gt;1,N176&lt;0),"检查输入",M176*N176)))</f>
        <v/>
      </c>
      <c r="T176" s="10">
        <f>IF(A176="","",IF(COUNT(F176:N176)&lt;9,"待补充",IF(OR(MIN(F176:N176)&lt;0,L176&gt;1,M176&gt;1),"检查输入",ROUND(F176-SUM(H176:K176)-R176-S176,4))))</f>
        <v/>
      </c>
      <c r="U176" s="10">
        <f>IF(A176="","",IF(COUNT(O176:P176)&lt;2,"待补充",IF(MIN(O176:P176)&lt;0,"检查输入",SUM(O176:P176))))</f>
        <v/>
      </c>
      <c r="V176" s="9">
        <f>IF(A176="","",IF(OR(T176="检查输入",U176="检查输入"),"检查输入",IF(OR(NOT(ISNUMBER(T176)),NOT(ISNUMBER(U176))),"待补充",IF(T176&lt;=0,"不可保本",IFERROR(ROUNDUP(U176/T176,0),"检查输入")))))</f>
        <v/>
      </c>
      <c r="W176" s="10">
        <f>IF(A176="","",IF(OR(NOT(ISNUMBER(T176)),NOT(ISNUMBER(U176)),NOT(ISNUMBER(Q176))),"待补充",IF(OR(Q176&lt;0,Q176&lt;&gt;INT(Q176)),"检查输入",ROUND(Q176*T176-U176,4))))</f>
        <v/>
      </c>
    </row>
    <row r="177" spans="18:23" ht="34" customHeight="1">
      <c r="R177" s="10">
        <f>IF(A177="","",IF(COUNT(G177,L177)&lt;2,"待补充",IF(OR(G177&lt;0,L177&lt;0,L177&gt;1),"检查输入",G177*L177)))</f>
        <v/>
      </c>
      <c r="S177" s="10">
        <f>IF(A177="","",IF(COUNT(M177:N177)&lt;2,"待补充",IF(OR(M177&lt;0,M177&gt;1,N177&lt;0),"检查输入",M177*N177)))</f>
        <v/>
      </c>
      <c r="T177" s="10">
        <f>IF(A177="","",IF(COUNT(F177:N177)&lt;9,"待补充",IF(OR(MIN(F177:N177)&lt;0,L177&gt;1,M177&gt;1),"检查输入",ROUND(F177-SUM(H177:K177)-R177-S177,4))))</f>
        <v/>
      </c>
      <c r="U177" s="10">
        <f>IF(A177="","",IF(COUNT(O177:P177)&lt;2,"待补充",IF(MIN(O177:P177)&lt;0,"检查输入",SUM(O177:P177))))</f>
        <v/>
      </c>
      <c r="V177" s="9">
        <f>IF(A177="","",IF(OR(T177="检查输入",U177="检查输入"),"检查输入",IF(OR(NOT(ISNUMBER(T177)),NOT(ISNUMBER(U177))),"待补充",IF(T177&lt;=0,"不可保本",IFERROR(ROUNDUP(U177/T177,0),"检查输入")))))</f>
        <v/>
      </c>
      <c r="W177" s="10">
        <f>IF(A177="","",IF(OR(NOT(ISNUMBER(T177)),NOT(ISNUMBER(U177)),NOT(ISNUMBER(Q177))),"待补充",IF(OR(Q177&lt;0,Q177&lt;&gt;INT(Q177)),"检查输入",ROUND(Q177*T177-U177,4))))</f>
        <v/>
      </c>
    </row>
    <row r="178" spans="18:23" ht="34" customHeight="1">
      <c r="R178" s="10">
        <f>IF(A178="","",IF(COUNT(G178,L178)&lt;2,"待补充",IF(OR(G178&lt;0,L178&lt;0,L178&gt;1),"检查输入",G178*L178)))</f>
        <v/>
      </c>
      <c r="S178" s="10">
        <f>IF(A178="","",IF(COUNT(M178:N178)&lt;2,"待补充",IF(OR(M178&lt;0,M178&gt;1,N178&lt;0),"检查输入",M178*N178)))</f>
        <v/>
      </c>
      <c r="T178" s="10">
        <f>IF(A178="","",IF(COUNT(F178:N178)&lt;9,"待补充",IF(OR(MIN(F178:N178)&lt;0,L178&gt;1,M178&gt;1),"检查输入",ROUND(F178-SUM(H178:K178)-R178-S178,4))))</f>
        <v/>
      </c>
      <c r="U178" s="10">
        <f>IF(A178="","",IF(COUNT(O178:P178)&lt;2,"待补充",IF(MIN(O178:P178)&lt;0,"检查输入",SUM(O178:P178))))</f>
        <v/>
      </c>
      <c r="V178" s="9">
        <f>IF(A178="","",IF(OR(T178="检查输入",U178="检查输入"),"检查输入",IF(OR(NOT(ISNUMBER(T178)),NOT(ISNUMBER(U178))),"待补充",IF(T178&lt;=0,"不可保本",IFERROR(ROUNDUP(U178/T178,0),"检查输入")))))</f>
        <v/>
      </c>
      <c r="W178" s="10">
        <f>IF(A178="","",IF(OR(NOT(ISNUMBER(T178)),NOT(ISNUMBER(U178)),NOT(ISNUMBER(Q178))),"待补充",IF(OR(Q178&lt;0,Q178&lt;&gt;INT(Q178)),"检查输入",ROUND(Q178*T178-U178,4))))</f>
        <v/>
      </c>
    </row>
    <row r="179" spans="18:23" ht="34" customHeight="1">
      <c r="R179" s="10">
        <f>IF(A179="","",IF(COUNT(G179,L179)&lt;2,"待补充",IF(OR(G179&lt;0,L179&lt;0,L179&gt;1),"检查输入",G179*L179)))</f>
        <v/>
      </c>
      <c r="S179" s="10">
        <f>IF(A179="","",IF(COUNT(M179:N179)&lt;2,"待补充",IF(OR(M179&lt;0,M179&gt;1,N179&lt;0),"检查输入",M179*N179)))</f>
        <v/>
      </c>
      <c r="T179" s="10">
        <f>IF(A179="","",IF(COUNT(F179:N179)&lt;9,"待补充",IF(OR(MIN(F179:N179)&lt;0,L179&gt;1,M179&gt;1),"检查输入",ROUND(F179-SUM(H179:K179)-R179-S179,4))))</f>
        <v/>
      </c>
      <c r="U179" s="10">
        <f>IF(A179="","",IF(COUNT(O179:P179)&lt;2,"待补充",IF(MIN(O179:P179)&lt;0,"检查输入",SUM(O179:P179))))</f>
        <v/>
      </c>
      <c r="V179" s="9">
        <f>IF(A179="","",IF(OR(T179="检查输入",U179="检查输入"),"检查输入",IF(OR(NOT(ISNUMBER(T179)),NOT(ISNUMBER(U179))),"待补充",IF(T179&lt;=0,"不可保本",IFERROR(ROUNDUP(U179/T179,0),"检查输入")))))</f>
        <v/>
      </c>
      <c r="W179" s="10">
        <f>IF(A179="","",IF(OR(NOT(ISNUMBER(T179)),NOT(ISNUMBER(U179)),NOT(ISNUMBER(Q179))),"待补充",IF(OR(Q179&lt;0,Q179&lt;&gt;INT(Q179)),"检查输入",ROUND(Q179*T179-U179,4))))</f>
        <v/>
      </c>
    </row>
    <row r="180" spans="18:23" ht="34" customHeight="1">
      <c r="R180" s="10">
        <f>IF(A180="","",IF(COUNT(G180,L180)&lt;2,"待补充",IF(OR(G180&lt;0,L180&lt;0,L180&gt;1),"检查输入",G180*L180)))</f>
        <v/>
      </c>
      <c r="S180" s="10">
        <f>IF(A180="","",IF(COUNT(M180:N180)&lt;2,"待补充",IF(OR(M180&lt;0,M180&gt;1,N180&lt;0),"检查输入",M180*N180)))</f>
        <v/>
      </c>
      <c r="T180" s="10">
        <f>IF(A180="","",IF(COUNT(F180:N180)&lt;9,"待补充",IF(OR(MIN(F180:N180)&lt;0,L180&gt;1,M180&gt;1),"检查输入",ROUND(F180-SUM(H180:K180)-R180-S180,4))))</f>
        <v/>
      </c>
      <c r="U180" s="10">
        <f>IF(A180="","",IF(COUNT(O180:P180)&lt;2,"待补充",IF(MIN(O180:P180)&lt;0,"检查输入",SUM(O180:P180))))</f>
        <v/>
      </c>
      <c r="V180" s="9">
        <f>IF(A180="","",IF(OR(T180="检查输入",U180="检查输入"),"检查输入",IF(OR(NOT(ISNUMBER(T180)),NOT(ISNUMBER(U180))),"待补充",IF(T180&lt;=0,"不可保本",IFERROR(ROUNDUP(U180/T180,0),"检查输入")))))</f>
        <v/>
      </c>
      <c r="W180" s="10">
        <f>IF(A180="","",IF(OR(NOT(ISNUMBER(T180)),NOT(ISNUMBER(U180)),NOT(ISNUMBER(Q180))),"待补充",IF(OR(Q180&lt;0,Q180&lt;&gt;INT(Q180)),"检查输入",ROUND(Q180*T180-U180,4))))</f>
        <v/>
      </c>
    </row>
    <row r="181" spans="18:23" ht="34" customHeight="1">
      <c r="R181" s="10">
        <f>IF(A181="","",IF(COUNT(G181,L181)&lt;2,"待补充",IF(OR(G181&lt;0,L181&lt;0,L181&gt;1),"检查输入",G181*L181)))</f>
        <v/>
      </c>
      <c r="S181" s="10">
        <f>IF(A181="","",IF(COUNT(M181:N181)&lt;2,"待补充",IF(OR(M181&lt;0,M181&gt;1,N181&lt;0),"检查输入",M181*N181)))</f>
        <v/>
      </c>
      <c r="T181" s="10">
        <f>IF(A181="","",IF(COUNT(F181:N181)&lt;9,"待补充",IF(OR(MIN(F181:N181)&lt;0,L181&gt;1,M181&gt;1),"检查输入",ROUND(F181-SUM(H181:K181)-R181-S181,4))))</f>
        <v/>
      </c>
      <c r="U181" s="10">
        <f>IF(A181="","",IF(COUNT(O181:P181)&lt;2,"待补充",IF(MIN(O181:P181)&lt;0,"检查输入",SUM(O181:P181))))</f>
        <v/>
      </c>
      <c r="V181" s="9">
        <f>IF(A181="","",IF(OR(T181="检查输入",U181="检查输入"),"检查输入",IF(OR(NOT(ISNUMBER(T181)),NOT(ISNUMBER(U181))),"待补充",IF(T181&lt;=0,"不可保本",IFERROR(ROUNDUP(U181/T181,0),"检查输入")))))</f>
        <v/>
      </c>
      <c r="W181" s="10">
        <f>IF(A181="","",IF(OR(NOT(ISNUMBER(T181)),NOT(ISNUMBER(U181)),NOT(ISNUMBER(Q181))),"待补充",IF(OR(Q181&lt;0,Q181&lt;&gt;INT(Q181)),"检查输入",ROUND(Q181*T181-U181,4))))</f>
        <v/>
      </c>
    </row>
    <row r="182" spans="18:23" ht="34" customHeight="1">
      <c r="R182" s="10">
        <f>IF(A182="","",IF(COUNT(G182,L182)&lt;2,"待补充",IF(OR(G182&lt;0,L182&lt;0,L182&gt;1),"检查输入",G182*L182)))</f>
        <v/>
      </c>
      <c r="S182" s="10">
        <f>IF(A182="","",IF(COUNT(M182:N182)&lt;2,"待补充",IF(OR(M182&lt;0,M182&gt;1,N182&lt;0),"检查输入",M182*N182)))</f>
        <v/>
      </c>
      <c r="T182" s="10">
        <f>IF(A182="","",IF(COUNT(F182:N182)&lt;9,"待补充",IF(OR(MIN(F182:N182)&lt;0,L182&gt;1,M182&gt;1),"检查输入",ROUND(F182-SUM(H182:K182)-R182-S182,4))))</f>
        <v/>
      </c>
      <c r="U182" s="10">
        <f>IF(A182="","",IF(COUNT(O182:P182)&lt;2,"待补充",IF(MIN(O182:P182)&lt;0,"检查输入",SUM(O182:P182))))</f>
        <v/>
      </c>
      <c r="V182" s="9">
        <f>IF(A182="","",IF(OR(T182="检查输入",U182="检查输入"),"检查输入",IF(OR(NOT(ISNUMBER(T182)),NOT(ISNUMBER(U182))),"待补充",IF(T182&lt;=0,"不可保本",IFERROR(ROUNDUP(U182/T182,0),"检查输入")))))</f>
        <v/>
      </c>
      <c r="W182" s="10">
        <f>IF(A182="","",IF(OR(NOT(ISNUMBER(T182)),NOT(ISNUMBER(U182)),NOT(ISNUMBER(Q182))),"待补充",IF(OR(Q182&lt;0,Q182&lt;&gt;INT(Q182)),"检查输入",ROUND(Q182*T182-U182,4))))</f>
        <v/>
      </c>
    </row>
    <row r="183" spans="18:23" ht="34" customHeight="1">
      <c r="R183" s="10">
        <f>IF(A183="","",IF(COUNT(G183,L183)&lt;2,"待补充",IF(OR(G183&lt;0,L183&lt;0,L183&gt;1),"检查输入",G183*L183)))</f>
        <v/>
      </c>
      <c r="S183" s="10">
        <f>IF(A183="","",IF(COUNT(M183:N183)&lt;2,"待补充",IF(OR(M183&lt;0,M183&gt;1,N183&lt;0),"检查输入",M183*N183)))</f>
        <v/>
      </c>
      <c r="T183" s="10">
        <f>IF(A183="","",IF(COUNT(F183:N183)&lt;9,"待补充",IF(OR(MIN(F183:N183)&lt;0,L183&gt;1,M183&gt;1),"检查输入",ROUND(F183-SUM(H183:K183)-R183-S183,4))))</f>
        <v/>
      </c>
      <c r="U183" s="10">
        <f>IF(A183="","",IF(COUNT(O183:P183)&lt;2,"待补充",IF(MIN(O183:P183)&lt;0,"检查输入",SUM(O183:P183))))</f>
        <v/>
      </c>
      <c r="V183" s="9">
        <f>IF(A183="","",IF(OR(T183="检查输入",U183="检查输入"),"检查输入",IF(OR(NOT(ISNUMBER(T183)),NOT(ISNUMBER(U183))),"待补充",IF(T183&lt;=0,"不可保本",IFERROR(ROUNDUP(U183/T183,0),"检查输入")))))</f>
        <v/>
      </c>
      <c r="W183" s="10">
        <f>IF(A183="","",IF(OR(NOT(ISNUMBER(T183)),NOT(ISNUMBER(U183)),NOT(ISNUMBER(Q183))),"待补充",IF(OR(Q183&lt;0,Q183&lt;&gt;INT(Q183)),"检查输入",ROUND(Q183*T183-U183,4))))</f>
        <v/>
      </c>
    </row>
    <row r="184" spans="18:23" ht="34" customHeight="1">
      <c r="R184" s="10">
        <f>IF(A184="","",IF(COUNT(G184,L184)&lt;2,"待补充",IF(OR(G184&lt;0,L184&lt;0,L184&gt;1),"检查输入",G184*L184)))</f>
        <v/>
      </c>
      <c r="S184" s="10">
        <f>IF(A184="","",IF(COUNT(M184:N184)&lt;2,"待补充",IF(OR(M184&lt;0,M184&gt;1,N184&lt;0),"检查输入",M184*N184)))</f>
        <v/>
      </c>
      <c r="T184" s="10">
        <f>IF(A184="","",IF(COUNT(F184:N184)&lt;9,"待补充",IF(OR(MIN(F184:N184)&lt;0,L184&gt;1,M184&gt;1),"检查输入",ROUND(F184-SUM(H184:K184)-R184-S184,4))))</f>
        <v/>
      </c>
      <c r="U184" s="10">
        <f>IF(A184="","",IF(COUNT(O184:P184)&lt;2,"待补充",IF(MIN(O184:P184)&lt;0,"检查输入",SUM(O184:P184))))</f>
        <v/>
      </c>
      <c r="V184" s="9">
        <f>IF(A184="","",IF(OR(T184="检查输入",U184="检查输入"),"检查输入",IF(OR(NOT(ISNUMBER(T184)),NOT(ISNUMBER(U184))),"待补充",IF(T184&lt;=0,"不可保本",IFERROR(ROUNDUP(U184/T184,0),"检查输入")))))</f>
        <v/>
      </c>
      <c r="W184" s="10">
        <f>IF(A184="","",IF(OR(NOT(ISNUMBER(T184)),NOT(ISNUMBER(U184)),NOT(ISNUMBER(Q184))),"待补充",IF(OR(Q184&lt;0,Q184&lt;&gt;INT(Q184)),"检查输入",ROUND(Q184*T184-U184,4))))</f>
        <v/>
      </c>
    </row>
    <row r="185" spans="18:23" ht="34" customHeight="1">
      <c r="R185" s="10">
        <f>IF(A185="","",IF(COUNT(G185,L185)&lt;2,"待补充",IF(OR(G185&lt;0,L185&lt;0,L185&gt;1),"检查输入",G185*L185)))</f>
        <v/>
      </c>
      <c r="S185" s="10">
        <f>IF(A185="","",IF(COUNT(M185:N185)&lt;2,"待补充",IF(OR(M185&lt;0,M185&gt;1,N185&lt;0),"检查输入",M185*N185)))</f>
        <v/>
      </c>
      <c r="T185" s="10">
        <f>IF(A185="","",IF(COUNT(F185:N185)&lt;9,"待补充",IF(OR(MIN(F185:N185)&lt;0,L185&gt;1,M185&gt;1),"检查输入",ROUND(F185-SUM(H185:K185)-R185-S185,4))))</f>
        <v/>
      </c>
      <c r="U185" s="10">
        <f>IF(A185="","",IF(COUNT(O185:P185)&lt;2,"待补充",IF(MIN(O185:P185)&lt;0,"检查输入",SUM(O185:P185))))</f>
        <v/>
      </c>
      <c r="V185" s="9">
        <f>IF(A185="","",IF(OR(T185="检查输入",U185="检查输入"),"检查输入",IF(OR(NOT(ISNUMBER(T185)),NOT(ISNUMBER(U185))),"待补充",IF(T185&lt;=0,"不可保本",IFERROR(ROUNDUP(U185/T185,0),"检查输入")))))</f>
        <v/>
      </c>
      <c r="W185" s="10">
        <f>IF(A185="","",IF(OR(NOT(ISNUMBER(T185)),NOT(ISNUMBER(U185)),NOT(ISNUMBER(Q185))),"待补充",IF(OR(Q185&lt;0,Q185&lt;&gt;INT(Q185)),"检查输入",ROUND(Q185*T185-U185,4))))</f>
        <v/>
      </c>
    </row>
    <row r="186" spans="18:23" ht="34" customHeight="1">
      <c r="R186" s="10">
        <f>IF(A186="","",IF(COUNT(G186,L186)&lt;2,"待补充",IF(OR(G186&lt;0,L186&lt;0,L186&gt;1),"检查输入",G186*L186)))</f>
        <v/>
      </c>
      <c r="S186" s="10">
        <f>IF(A186="","",IF(COUNT(M186:N186)&lt;2,"待补充",IF(OR(M186&lt;0,M186&gt;1,N186&lt;0),"检查输入",M186*N186)))</f>
        <v/>
      </c>
      <c r="T186" s="10">
        <f>IF(A186="","",IF(COUNT(F186:N186)&lt;9,"待补充",IF(OR(MIN(F186:N186)&lt;0,L186&gt;1,M186&gt;1),"检查输入",ROUND(F186-SUM(H186:K186)-R186-S186,4))))</f>
        <v/>
      </c>
      <c r="U186" s="10">
        <f>IF(A186="","",IF(COUNT(O186:P186)&lt;2,"待补充",IF(MIN(O186:P186)&lt;0,"检查输入",SUM(O186:P186))))</f>
        <v/>
      </c>
      <c r="V186" s="9">
        <f>IF(A186="","",IF(OR(T186="检查输入",U186="检查输入"),"检查输入",IF(OR(NOT(ISNUMBER(T186)),NOT(ISNUMBER(U186))),"待补充",IF(T186&lt;=0,"不可保本",IFERROR(ROUNDUP(U186/T186,0),"检查输入")))))</f>
        <v/>
      </c>
      <c r="W186" s="10">
        <f>IF(A186="","",IF(OR(NOT(ISNUMBER(T186)),NOT(ISNUMBER(U186)),NOT(ISNUMBER(Q186))),"待补充",IF(OR(Q186&lt;0,Q186&lt;&gt;INT(Q186)),"检查输入",ROUND(Q186*T186-U186,4))))</f>
        <v/>
      </c>
    </row>
    <row r="187" spans="18:23" ht="34" customHeight="1">
      <c r="R187" s="10">
        <f>IF(A187="","",IF(COUNT(G187,L187)&lt;2,"待补充",IF(OR(G187&lt;0,L187&lt;0,L187&gt;1),"检查输入",G187*L187)))</f>
        <v/>
      </c>
      <c r="S187" s="10">
        <f>IF(A187="","",IF(COUNT(M187:N187)&lt;2,"待补充",IF(OR(M187&lt;0,M187&gt;1,N187&lt;0),"检查输入",M187*N187)))</f>
        <v/>
      </c>
      <c r="T187" s="10">
        <f>IF(A187="","",IF(COUNT(F187:N187)&lt;9,"待补充",IF(OR(MIN(F187:N187)&lt;0,L187&gt;1,M187&gt;1),"检查输入",ROUND(F187-SUM(H187:K187)-R187-S187,4))))</f>
        <v/>
      </c>
      <c r="U187" s="10">
        <f>IF(A187="","",IF(COUNT(O187:P187)&lt;2,"待补充",IF(MIN(O187:P187)&lt;0,"检查输入",SUM(O187:P187))))</f>
        <v/>
      </c>
      <c r="V187" s="9">
        <f>IF(A187="","",IF(OR(T187="检查输入",U187="检查输入"),"检查输入",IF(OR(NOT(ISNUMBER(T187)),NOT(ISNUMBER(U187))),"待补充",IF(T187&lt;=0,"不可保本",IFERROR(ROUNDUP(U187/T187,0),"检查输入")))))</f>
        <v/>
      </c>
      <c r="W187" s="10">
        <f>IF(A187="","",IF(OR(NOT(ISNUMBER(T187)),NOT(ISNUMBER(U187)),NOT(ISNUMBER(Q187))),"待补充",IF(OR(Q187&lt;0,Q187&lt;&gt;INT(Q187)),"检查输入",ROUND(Q187*T187-U187,4))))</f>
        <v/>
      </c>
    </row>
    <row r="188" spans="18:23" ht="34" customHeight="1">
      <c r="R188" s="10">
        <f>IF(A188="","",IF(COUNT(G188,L188)&lt;2,"待补充",IF(OR(G188&lt;0,L188&lt;0,L188&gt;1),"检查输入",G188*L188)))</f>
        <v/>
      </c>
      <c r="S188" s="10">
        <f>IF(A188="","",IF(COUNT(M188:N188)&lt;2,"待补充",IF(OR(M188&lt;0,M188&gt;1,N188&lt;0),"检查输入",M188*N188)))</f>
        <v/>
      </c>
      <c r="T188" s="10">
        <f>IF(A188="","",IF(COUNT(F188:N188)&lt;9,"待补充",IF(OR(MIN(F188:N188)&lt;0,L188&gt;1,M188&gt;1),"检查输入",ROUND(F188-SUM(H188:K188)-R188-S188,4))))</f>
        <v/>
      </c>
      <c r="U188" s="10">
        <f>IF(A188="","",IF(COUNT(O188:P188)&lt;2,"待补充",IF(MIN(O188:P188)&lt;0,"检查输入",SUM(O188:P188))))</f>
        <v/>
      </c>
      <c r="V188" s="9">
        <f>IF(A188="","",IF(OR(T188="检查输入",U188="检查输入"),"检查输入",IF(OR(NOT(ISNUMBER(T188)),NOT(ISNUMBER(U188))),"待补充",IF(T188&lt;=0,"不可保本",IFERROR(ROUNDUP(U188/T188,0),"检查输入")))))</f>
        <v/>
      </c>
      <c r="W188" s="10">
        <f>IF(A188="","",IF(OR(NOT(ISNUMBER(T188)),NOT(ISNUMBER(U188)),NOT(ISNUMBER(Q188))),"待补充",IF(OR(Q188&lt;0,Q188&lt;&gt;INT(Q188)),"检查输入",ROUND(Q188*T188-U188,4))))</f>
        <v/>
      </c>
    </row>
    <row r="189" spans="18:23" ht="34" customHeight="1">
      <c r="R189" s="10">
        <f>IF(A189="","",IF(COUNT(G189,L189)&lt;2,"待补充",IF(OR(G189&lt;0,L189&lt;0,L189&gt;1),"检查输入",G189*L189)))</f>
        <v/>
      </c>
      <c r="S189" s="10">
        <f>IF(A189="","",IF(COUNT(M189:N189)&lt;2,"待补充",IF(OR(M189&lt;0,M189&gt;1,N189&lt;0),"检查输入",M189*N189)))</f>
        <v/>
      </c>
      <c r="T189" s="10">
        <f>IF(A189="","",IF(COUNT(F189:N189)&lt;9,"待补充",IF(OR(MIN(F189:N189)&lt;0,L189&gt;1,M189&gt;1),"检查输入",ROUND(F189-SUM(H189:K189)-R189-S189,4))))</f>
        <v/>
      </c>
      <c r="U189" s="10">
        <f>IF(A189="","",IF(COUNT(O189:P189)&lt;2,"待补充",IF(MIN(O189:P189)&lt;0,"检查输入",SUM(O189:P189))))</f>
        <v/>
      </c>
      <c r="V189" s="9">
        <f>IF(A189="","",IF(OR(T189="检查输入",U189="检查输入"),"检查输入",IF(OR(NOT(ISNUMBER(T189)),NOT(ISNUMBER(U189))),"待补充",IF(T189&lt;=0,"不可保本",IFERROR(ROUNDUP(U189/T189,0),"检查输入")))))</f>
        <v/>
      </c>
      <c r="W189" s="10">
        <f>IF(A189="","",IF(OR(NOT(ISNUMBER(T189)),NOT(ISNUMBER(U189)),NOT(ISNUMBER(Q189))),"待补充",IF(OR(Q189&lt;0,Q189&lt;&gt;INT(Q189)),"检查输入",ROUND(Q189*T189-U189,4))))</f>
        <v/>
      </c>
    </row>
    <row r="190" spans="18:23" ht="34" customHeight="1">
      <c r="R190" s="10">
        <f>IF(A190="","",IF(COUNT(G190,L190)&lt;2,"待补充",IF(OR(G190&lt;0,L190&lt;0,L190&gt;1),"检查输入",G190*L190)))</f>
        <v/>
      </c>
      <c r="S190" s="10">
        <f>IF(A190="","",IF(COUNT(M190:N190)&lt;2,"待补充",IF(OR(M190&lt;0,M190&gt;1,N190&lt;0),"检查输入",M190*N190)))</f>
        <v/>
      </c>
      <c r="T190" s="10">
        <f>IF(A190="","",IF(COUNT(F190:N190)&lt;9,"待补充",IF(OR(MIN(F190:N190)&lt;0,L190&gt;1,M190&gt;1),"检查输入",ROUND(F190-SUM(H190:K190)-R190-S190,4))))</f>
        <v/>
      </c>
      <c r="U190" s="10">
        <f>IF(A190="","",IF(COUNT(O190:P190)&lt;2,"待补充",IF(MIN(O190:P190)&lt;0,"检查输入",SUM(O190:P190))))</f>
        <v/>
      </c>
      <c r="V190" s="9">
        <f>IF(A190="","",IF(OR(T190="检查输入",U190="检查输入"),"检查输入",IF(OR(NOT(ISNUMBER(T190)),NOT(ISNUMBER(U190))),"待补充",IF(T190&lt;=0,"不可保本",IFERROR(ROUNDUP(U190/T190,0),"检查输入")))))</f>
        <v/>
      </c>
      <c r="W190" s="10">
        <f>IF(A190="","",IF(OR(NOT(ISNUMBER(T190)),NOT(ISNUMBER(U190)),NOT(ISNUMBER(Q190))),"待补充",IF(OR(Q190&lt;0,Q190&lt;&gt;INT(Q190)),"检查输入",ROUND(Q190*T190-U190,4))))</f>
        <v/>
      </c>
    </row>
    <row r="191" spans="18:23" ht="34" customHeight="1">
      <c r="R191" s="10">
        <f>IF(A191="","",IF(COUNT(G191,L191)&lt;2,"待补充",IF(OR(G191&lt;0,L191&lt;0,L191&gt;1),"检查输入",G191*L191)))</f>
        <v/>
      </c>
      <c r="S191" s="10">
        <f>IF(A191="","",IF(COUNT(M191:N191)&lt;2,"待补充",IF(OR(M191&lt;0,M191&gt;1,N191&lt;0),"检查输入",M191*N191)))</f>
        <v/>
      </c>
      <c r="T191" s="10">
        <f>IF(A191="","",IF(COUNT(F191:N191)&lt;9,"待补充",IF(OR(MIN(F191:N191)&lt;0,L191&gt;1,M191&gt;1),"检查输入",ROUND(F191-SUM(H191:K191)-R191-S191,4))))</f>
        <v/>
      </c>
      <c r="U191" s="10">
        <f>IF(A191="","",IF(COUNT(O191:P191)&lt;2,"待补充",IF(MIN(O191:P191)&lt;0,"检查输入",SUM(O191:P191))))</f>
        <v/>
      </c>
      <c r="V191" s="9">
        <f>IF(A191="","",IF(OR(T191="检查输入",U191="检查输入"),"检查输入",IF(OR(NOT(ISNUMBER(T191)),NOT(ISNUMBER(U191))),"待补充",IF(T191&lt;=0,"不可保本",IFERROR(ROUNDUP(U191/T191,0),"检查输入")))))</f>
        <v/>
      </c>
      <c r="W191" s="10">
        <f>IF(A191="","",IF(OR(NOT(ISNUMBER(T191)),NOT(ISNUMBER(U191)),NOT(ISNUMBER(Q191))),"待补充",IF(OR(Q191&lt;0,Q191&lt;&gt;INT(Q191)),"检查输入",ROUND(Q191*T191-U191,4))))</f>
        <v/>
      </c>
    </row>
    <row r="192" spans="18:23" ht="34" customHeight="1">
      <c r="R192" s="10">
        <f>IF(A192="","",IF(COUNT(G192,L192)&lt;2,"待补充",IF(OR(G192&lt;0,L192&lt;0,L192&gt;1),"检查输入",G192*L192)))</f>
        <v/>
      </c>
      <c r="S192" s="10">
        <f>IF(A192="","",IF(COUNT(M192:N192)&lt;2,"待补充",IF(OR(M192&lt;0,M192&gt;1,N192&lt;0),"检查输入",M192*N192)))</f>
        <v/>
      </c>
      <c r="T192" s="10">
        <f>IF(A192="","",IF(COUNT(F192:N192)&lt;9,"待补充",IF(OR(MIN(F192:N192)&lt;0,L192&gt;1,M192&gt;1),"检查输入",ROUND(F192-SUM(H192:K192)-R192-S192,4))))</f>
        <v/>
      </c>
      <c r="U192" s="10">
        <f>IF(A192="","",IF(COUNT(O192:P192)&lt;2,"待补充",IF(MIN(O192:P192)&lt;0,"检查输入",SUM(O192:P192))))</f>
        <v/>
      </c>
      <c r="V192" s="9">
        <f>IF(A192="","",IF(OR(T192="检查输入",U192="检查输入"),"检查输入",IF(OR(NOT(ISNUMBER(T192)),NOT(ISNUMBER(U192))),"待补充",IF(T192&lt;=0,"不可保本",IFERROR(ROUNDUP(U192/T192,0),"检查输入")))))</f>
        <v/>
      </c>
      <c r="W192" s="10">
        <f>IF(A192="","",IF(OR(NOT(ISNUMBER(T192)),NOT(ISNUMBER(U192)),NOT(ISNUMBER(Q192))),"待补充",IF(OR(Q192&lt;0,Q192&lt;&gt;INT(Q192)),"检查输入",ROUND(Q192*T192-U192,4))))</f>
        <v/>
      </c>
    </row>
    <row r="193" spans="18:23" ht="34" customHeight="1">
      <c r="R193" s="10">
        <f>IF(A193="","",IF(COUNT(G193,L193)&lt;2,"待补充",IF(OR(G193&lt;0,L193&lt;0,L193&gt;1),"检查输入",G193*L193)))</f>
        <v/>
      </c>
      <c r="S193" s="10">
        <f>IF(A193="","",IF(COUNT(M193:N193)&lt;2,"待补充",IF(OR(M193&lt;0,M193&gt;1,N193&lt;0),"检查输入",M193*N193)))</f>
        <v/>
      </c>
      <c r="T193" s="10">
        <f>IF(A193="","",IF(COUNT(F193:N193)&lt;9,"待补充",IF(OR(MIN(F193:N193)&lt;0,L193&gt;1,M193&gt;1),"检查输入",ROUND(F193-SUM(H193:K193)-R193-S193,4))))</f>
        <v/>
      </c>
      <c r="U193" s="10">
        <f>IF(A193="","",IF(COUNT(O193:P193)&lt;2,"待补充",IF(MIN(O193:P193)&lt;0,"检查输入",SUM(O193:P193))))</f>
        <v/>
      </c>
      <c r="V193" s="9">
        <f>IF(A193="","",IF(OR(T193="检查输入",U193="检查输入"),"检查输入",IF(OR(NOT(ISNUMBER(T193)),NOT(ISNUMBER(U193))),"待补充",IF(T193&lt;=0,"不可保本",IFERROR(ROUNDUP(U193/T193,0),"检查输入")))))</f>
        <v/>
      </c>
      <c r="W193" s="10">
        <f>IF(A193="","",IF(OR(NOT(ISNUMBER(T193)),NOT(ISNUMBER(U193)),NOT(ISNUMBER(Q193))),"待补充",IF(OR(Q193&lt;0,Q193&lt;&gt;INT(Q193)),"检查输入",ROUND(Q193*T193-U193,4))))</f>
        <v/>
      </c>
    </row>
    <row r="194" spans="18:23" ht="34" customHeight="1">
      <c r="R194" s="10">
        <f>IF(A194="","",IF(COUNT(G194,L194)&lt;2,"待补充",IF(OR(G194&lt;0,L194&lt;0,L194&gt;1),"检查输入",G194*L194)))</f>
        <v/>
      </c>
      <c r="S194" s="10">
        <f>IF(A194="","",IF(COUNT(M194:N194)&lt;2,"待补充",IF(OR(M194&lt;0,M194&gt;1,N194&lt;0),"检查输入",M194*N194)))</f>
        <v/>
      </c>
      <c r="T194" s="10">
        <f>IF(A194="","",IF(COUNT(F194:N194)&lt;9,"待补充",IF(OR(MIN(F194:N194)&lt;0,L194&gt;1,M194&gt;1),"检查输入",ROUND(F194-SUM(H194:K194)-R194-S194,4))))</f>
        <v/>
      </c>
      <c r="U194" s="10">
        <f>IF(A194="","",IF(COUNT(O194:P194)&lt;2,"待补充",IF(MIN(O194:P194)&lt;0,"检查输入",SUM(O194:P194))))</f>
        <v/>
      </c>
      <c r="V194" s="9">
        <f>IF(A194="","",IF(OR(T194="检查输入",U194="检查输入"),"检查输入",IF(OR(NOT(ISNUMBER(T194)),NOT(ISNUMBER(U194))),"待补充",IF(T194&lt;=0,"不可保本",IFERROR(ROUNDUP(U194/T194,0),"检查输入")))))</f>
        <v/>
      </c>
      <c r="W194" s="10">
        <f>IF(A194="","",IF(OR(NOT(ISNUMBER(T194)),NOT(ISNUMBER(U194)),NOT(ISNUMBER(Q194))),"待补充",IF(OR(Q194&lt;0,Q194&lt;&gt;INT(Q194)),"检查输入",ROUND(Q194*T194-U194,4))))</f>
        <v/>
      </c>
    </row>
    <row r="195" spans="18:23" ht="34" customHeight="1">
      <c r="R195" s="10">
        <f>IF(A195="","",IF(COUNT(G195,L195)&lt;2,"待补充",IF(OR(G195&lt;0,L195&lt;0,L195&gt;1),"检查输入",G195*L195)))</f>
        <v/>
      </c>
      <c r="S195" s="10">
        <f>IF(A195="","",IF(COUNT(M195:N195)&lt;2,"待补充",IF(OR(M195&lt;0,M195&gt;1,N195&lt;0),"检查输入",M195*N195)))</f>
        <v/>
      </c>
      <c r="T195" s="10">
        <f>IF(A195="","",IF(COUNT(F195:N195)&lt;9,"待补充",IF(OR(MIN(F195:N195)&lt;0,L195&gt;1,M195&gt;1),"检查输入",ROUND(F195-SUM(H195:K195)-R195-S195,4))))</f>
        <v/>
      </c>
      <c r="U195" s="10">
        <f>IF(A195="","",IF(COUNT(O195:P195)&lt;2,"待补充",IF(MIN(O195:P195)&lt;0,"检查输入",SUM(O195:P195))))</f>
        <v/>
      </c>
      <c r="V195" s="9">
        <f>IF(A195="","",IF(OR(T195="检查输入",U195="检查输入"),"检查输入",IF(OR(NOT(ISNUMBER(T195)),NOT(ISNUMBER(U195))),"待补充",IF(T195&lt;=0,"不可保本",IFERROR(ROUNDUP(U195/T195,0),"检查输入")))))</f>
        <v/>
      </c>
      <c r="W195" s="10">
        <f>IF(A195="","",IF(OR(NOT(ISNUMBER(T195)),NOT(ISNUMBER(U195)),NOT(ISNUMBER(Q195))),"待补充",IF(OR(Q195&lt;0,Q195&lt;&gt;INT(Q195)),"检查输入",ROUND(Q195*T195-U195,4))))</f>
        <v/>
      </c>
    </row>
    <row r="196" spans="18:23" ht="34" customHeight="1">
      <c r="R196" s="10">
        <f>IF(A196="","",IF(COUNT(G196,L196)&lt;2,"待补充",IF(OR(G196&lt;0,L196&lt;0,L196&gt;1),"检查输入",G196*L196)))</f>
        <v/>
      </c>
      <c r="S196" s="10">
        <f>IF(A196="","",IF(COUNT(M196:N196)&lt;2,"待补充",IF(OR(M196&lt;0,M196&gt;1,N196&lt;0),"检查输入",M196*N196)))</f>
        <v/>
      </c>
      <c r="T196" s="10">
        <f>IF(A196="","",IF(COUNT(F196:N196)&lt;9,"待补充",IF(OR(MIN(F196:N196)&lt;0,L196&gt;1,M196&gt;1),"检查输入",ROUND(F196-SUM(H196:K196)-R196-S196,4))))</f>
        <v/>
      </c>
      <c r="U196" s="10">
        <f>IF(A196="","",IF(COUNT(O196:P196)&lt;2,"待补充",IF(MIN(O196:P196)&lt;0,"检查输入",SUM(O196:P196))))</f>
        <v/>
      </c>
      <c r="V196" s="9">
        <f>IF(A196="","",IF(OR(T196="检查输入",U196="检查输入"),"检查输入",IF(OR(NOT(ISNUMBER(T196)),NOT(ISNUMBER(U196))),"待补充",IF(T196&lt;=0,"不可保本",IFERROR(ROUNDUP(U196/T196,0),"检查输入")))))</f>
        <v/>
      </c>
      <c r="W196" s="10">
        <f>IF(A196="","",IF(OR(NOT(ISNUMBER(T196)),NOT(ISNUMBER(U196)),NOT(ISNUMBER(Q196))),"待补充",IF(OR(Q196&lt;0,Q196&lt;&gt;INT(Q196)),"检查输入",ROUND(Q196*T196-U196,4))))</f>
        <v/>
      </c>
    </row>
    <row r="197" spans="18:23" ht="34" customHeight="1">
      <c r="R197" s="10">
        <f>IF(A197="","",IF(COUNT(G197,L197)&lt;2,"待补充",IF(OR(G197&lt;0,L197&lt;0,L197&gt;1),"检查输入",G197*L197)))</f>
        <v/>
      </c>
      <c r="S197" s="10">
        <f>IF(A197="","",IF(COUNT(M197:N197)&lt;2,"待补充",IF(OR(M197&lt;0,M197&gt;1,N197&lt;0),"检查输入",M197*N197)))</f>
        <v/>
      </c>
      <c r="T197" s="10">
        <f>IF(A197="","",IF(COUNT(F197:N197)&lt;9,"待补充",IF(OR(MIN(F197:N197)&lt;0,L197&gt;1,M197&gt;1),"检查输入",ROUND(F197-SUM(H197:K197)-R197-S197,4))))</f>
        <v/>
      </c>
      <c r="U197" s="10">
        <f>IF(A197="","",IF(COUNT(O197:P197)&lt;2,"待补充",IF(MIN(O197:P197)&lt;0,"检查输入",SUM(O197:P197))))</f>
        <v/>
      </c>
      <c r="V197" s="9">
        <f>IF(A197="","",IF(OR(T197="检查输入",U197="检查输入"),"检查输入",IF(OR(NOT(ISNUMBER(T197)),NOT(ISNUMBER(U197))),"待补充",IF(T197&lt;=0,"不可保本",IFERROR(ROUNDUP(U197/T197,0),"检查输入")))))</f>
        <v/>
      </c>
      <c r="W197" s="10">
        <f>IF(A197="","",IF(OR(NOT(ISNUMBER(T197)),NOT(ISNUMBER(U197)),NOT(ISNUMBER(Q197))),"待补充",IF(OR(Q197&lt;0,Q197&lt;&gt;INT(Q197)),"检查输入",ROUND(Q197*T197-U197,4))))</f>
        <v/>
      </c>
    </row>
    <row r="198" spans="18:23" ht="34" customHeight="1">
      <c r="R198" s="10">
        <f>IF(A198="","",IF(COUNT(G198,L198)&lt;2,"待补充",IF(OR(G198&lt;0,L198&lt;0,L198&gt;1),"检查输入",G198*L198)))</f>
        <v/>
      </c>
      <c r="S198" s="10">
        <f>IF(A198="","",IF(COUNT(M198:N198)&lt;2,"待补充",IF(OR(M198&lt;0,M198&gt;1,N198&lt;0),"检查输入",M198*N198)))</f>
        <v/>
      </c>
      <c r="T198" s="10">
        <f>IF(A198="","",IF(COUNT(F198:N198)&lt;9,"待补充",IF(OR(MIN(F198:N198)&lt;0,L198&gt;1,M198&gt;1),"检查输入",ROUND(F198-SUM(H198:K198)-R198-S198,4))))</f>
        <v/>
      </c>
      <c r="U198" s="10">
        <f>IF(A198="","",IF(COUNT(O198:P198)&lt;2,"待补充",IF(MIN(O198:P198)&lt;0,"检查输入",SUM(O198:P198))))</f>
        <v/>
      </c>
      <c r="V198" s="9">
        <f>IF(A198="","",IF(OR(T198="检查输入",U198="检查输入"),"检查输入",IF(OR(NOT(ISNUMBER(T198)),NOT(ISNUMBER(U198))),"待补充",IF(T198&lt;=0,"不可保本",IFERROR(ROUNDUP(U198/T198,0),"检查输入")))))</f>
        <v/>
      </c>
      <c r="W198" s="10">
        <f>IF(A198="","",IF(OR(NOT(ISNUMBER(T198)),NOT(ISNUMBER(U198)),NOT(ISNUMBER(Q198))),"待补充",IF(OR(Q198&lt;0,Q198&lt;&gt;INT(Q198)),"检查输入",ROUND(Q198*T198-U198,4))))</f>
        <v/>
      </c>
    </row>
    <row r="199" spans="18:23" ht="34" customHeight="1">
      <c r="R199" s="10">
        <f>IF(A199="","",IF(COUNT(G199,L199)&lt;2,"待补充",IF(OR(G199&lt;0,L199&lt;0,L199&gt;1),"检查输入",G199*L199)))</f>
        <v/>
      </c>
      <c r="S199" s="10">
        <f>IF(A199="","",IF(COUNT(M199:N199)&lt;2,"待补充",IF(OR(M199&lt;0,M199&gt;1,N199&lt;0),"检查输入",M199*N199)))</f>
        <v/>
      </c>
      <c r="T199" s="10">
        <f>IF(A199="","",IF(COUNT(F199:N199)&lt;9,"待补充",IF(OR(MIN(F199:N199)&lt;0,L199&gt;1,M199&gt;1),"检查输入",ROUND(F199-SUM(H199:K199)-R199-S199,4))))</f>
        <v/>
      </c>
      <c r="U199" s="10">
        <f>IF(A199="","",IF(COUNT(O199:P199)&lt;2,"待补充",IF(MIN(O199:P199)&lt;0,"检查输入",SUM(O199:P199))))</f>
        <v/>
      </c>
      <c r="V199" s="9">
        <f>IF(A199="","",IF(OR(T199="检查输入",U199="检查输入"),"检查输入",IF(OR(NOT(ISNUMBER(T199)),NOT(ISNUMBER(U199))),"待补充",IF(T199&lt;=0,"不可保本",IFERROR(ROUNDUP(U199/T199,0),"检查输入")))))</f>
        <v/>
      </c>
      <c r="W199" s="10">
        <f>IF(A199="","",IF(OR(NOT(ISNUMBER(T199)),NOT(ISNUMBER(U199)),NOT(ISNUMBER(Q199))),"待补充",IF(OR(Q199&lt;0,Q199&lt;&gt;INT(Q199)),"检查输入",ROUND(Q199*T199-U199,4))))</f>
        <v/>
      </c>
    </row>
    <row r="200" spans="18:23" ht="34" customHeight="1">
      <c r="R200" s="10">
        <f>IF(A200="","",IF(COUNT(G200,L200)&lt;2,"待补充",IF(OR(G200&lt;0,L200&lt;0,L200&gt;1),"检查输入",G200*L200)))</f>
        <v/>
      </c>
      <c r="S200" s="10">
        <f>IF(A200="","",IF(COUNT(M200:N200)&lt;2,"待补充",IF(OR(M200&lt;0,M200&gt;1,N200&lt;0),"检查输入",M200*N200)))</f>
        <v/>
      </c>
      <c r="T200" s="10">
        <f>IF(A200="","",IF(COUNT(F200:N200)&lt;9,"待补充",IF(OR(MIN(F200:N200)&lt;0,L200&gt;1,M200&gt;1),"检查输入",ROUND(F200-SUM(H200:K200)-R200-S200,4))))</f>
        <v/>
      </c>
      <c r="U200" s="10">
        <f>IF(A200="","",IF(COUNT(O200:P200)&lt;2,"待补充",IF(MIN(O200:P200)&lt;0,"检查输入",SUM(O200:P200))))</f>
        <v/>
      </c>
      <c r="V200" s="9">
        <f>IF(A200="","",IF(OR(T200="检查输入",U200="检查输入"),"检查输入",IF(OR(NOT(ISNUMBER(T200)),NOT(ISNUMBER(U200))),"待补充",IF(T200&lt;=0,"不可保本",IFERROR(ROUNDUP(U200/T200,0),"检查输入")))))</f>
        <v/>
      </c>
      <c r="W200" s="10">
        <f>IF(A200="","",IF(OR(NOT(ISNUMBER(T200)),NOT(ISNUMBER(U200)),NOT(ISNUMBER(Q200))),"待补充",IF(OR(Q200&lt;0,Q200&lt;&gt;INT(Q200)),"检查输入",ROUND(Q200*T200-U200,4))))</f>
        <v/>
      </c>
    </row>
    <row r="201" spans="18:23" ht="34" customHeight="1">
      <c r="R201" s="10">
        <f>IF(A201="","",IF(COUNT(G201,L201)&lt;2,"待补充",IF(OR(G201&lt;0,L201&lt;0,L201&gt;1),"检查输入",G201*L201)))</f>
        <v/>
      </c>
      <c r="S201" s="10">
        <f>IF(A201="","",IF(COUNT(M201:N201)&lt;2,"待补充",IF(OR(M201&lt;0,M201&gt;1,N201&lt;0),"检查输入",M201*N201)))</f>
        <v/>
      </c>
      <c r="T201" s="10">
        <f>IF(A201="","",IF(COUNT(F201:N201)&lt;9,"待补充",IF(OR(MIN(F201:N201)&lt;0,L201&gt;1,M201&gt;1),"检查输入",ROUND(F201-SUM(H201:K201)-R201-S201,4))))</f>
        <v/>
      </c>
      <c r="U201" s="10">
        <f>IF(A201="","",IF(COUNT(O201:P201)&lt;2,"待补充",IF(MIN(O201:P201)&lt;0,"检查输入",SUM(O201:P201))))</f>
        <v/>
      </c>
      <c r="V201" s="9">
        <f>IF(A201="","",IF(OR(T201="检查输入",U201="检查输入"),"检查输入",IF(OR(NOT(ISNUMBER(T201)),NOT(ISNUMBER(U201))),"待补充",IF(T201&lt;=0,"不可保本",IFERROR(ROUNDUP(U201/T201,0),"检查输入")))))</f>
        <v/>
      </c>
      <c r="W201" s="10">
        <f>IF(A201="","",IF(OR(NOT(ISNUMBER(T201)),NOT(ISNUMBER(U201)),NOT(ISNUMBER(Q201))),"待补充",IF(OR(Q201&lt;0,Q201&lt;&gt;INT(Q201)),"检查输入",ROUND(Q201*T201-U201,4))))</f>
        <v/>
      </c>
    </row>
    <row r="202" spans="18:23" ht="34" customHeight="1">
      <c r="R202" s="10">
        <f>IF(A202="","",IF(COUNT(G202,L202)&lt;2,"待补充",IF(OR(G202&lt;0,L202&lt;0,L202&gt;1),"检查输入",G202*L202)))</f>
        <v/>
      </c>
      <c r="S202" s="10">
        <f>IF(A202="","",IF(COUNT(M202:N202)&lt;2,"待补充",IF(OR(M202&lt;0,M202&gt;1,N202&lt;0),"检查输入",M202*N202)))</f>
        <v/>
      </c>
      <c r="T202" s="10">
        <f>IF(A202="","",IF(COUNT(F202:N202)&lt;9,"待补充",IF(OR(MIN(F202:N202)&lt;0,L202&gt;1,M202&gt;1),"检查输入",ROUND(F202-SUM(H202:K202)-R202-S202,4))))</f>
        <v/>
      </c>
      <c r="U202" s="10">
        <f>IF(A202="","",IF(COUNT(O202:P202)&lt;2,"待补充",IF(MIN(O202:P202)&lt;0,"检查输入",SUM(O202:P202))))</f>
        <v/>
      </c>
      <c r="V202" s="9">
        <f>IF(A202="","",IF(OR(T202="检查输入",U202="检查输入"),"检查输入",IF(OR(NOT(ISNUMBER(T202)),NOT(ISNUMBER(U202))),"待补充",IF(T202&lt;=0,"不可保本",IFERROR(ROUNDUP(U202/T202,0),"检查输入")))))</f>
        <v/>
      </c>
      <c r="W202" s="10">
        <f>IF(A202="","",IF(OR(NOT(ISNUMBER(T202)),NOT(ISNUMBER(U202)),NOT(ISNUMBER(Q202))),"待补充",IF(OR(Q202&lt;0,Q202&lt;&gt;INT(Q202)),"检查输入",ROUND(Q202*T202-U202,4))))</f>
        <v/>
      </c>
    </row>
    <row r="203" spans="18:23" ht="34" customHeight="1">
      <c r="R203" s="10">
        <f>IF(A203="","",IF(COUNT(G203,L203)&lt;2,"待补充",IF(OR(G203&lt;0,L203&lt;0,L203&gt;1),"检查输入",G203*L203)))</f>
        <v/>
      </c>
      <c r="S203" s="10">
        <f>IF(A203="","",IF(COUNT(M203:N203)&lt;2,"待补充",IF(OR(M203&lt;0,M203&gt;1,N203&lt;0),"检查输入",M203*N203)))</f>
        <v/>
      </c>
      <c r="T203" s="10">
        <f>IF(A203="","",IF(COUNT(F203:N203)&lt;9,"待补充",IF(OR(MIN(F203:N203)&lt;0,L203&gt;1,M203&gt;1),"检查输入",ROUND(F203-SUM(H203:K203)-R203-S203,4))))</f>
        <v/>
      </c>
      <c r="U203" s="10">
        <f>IF(A203="","",IF(COUNT(O203:P203)&lt;2,"待补充",IF(MIN(O203:P203)&lt;0,"检查输入",SUM(O203:P203))))</f>
        <v/>
      </c>
      <c r="V203" s="9">
        <f>IF(A203="","",IF(OR(T203="检查输入",U203="检查输入"),"检查输入",IF(OR(NOT(ISNUMBER(T203)),NOT(ISNUMBER(U203))),"待补充",IF(T203&lt;=0,"不可保本",IFERROR(ROUNDUP(U203/T203,0),"检查输入")))))</f>
        <v/>
      </c>
      <c r="W203" s="10">
        <f>IF(A203="","",IF(OR(NOT(ISNUMBER(T203)),NOT(ISNUMBER(U203)),NOT(ISNUMBER(Q203))),"待补充",IF(OR(Q203&lt;0,Q203&lt;&gt;INT(Q203)),"检查输入",ROUND(Q203*T203-U203,4))))</f>
        <v/>
      </c>
    </row>
    <row r="204" spans="18:23" ht="34" customHeight="1">
      <c r="R204" s="10">
        <f>IF(A204="","",IF(COUNT(G204,L204)&lt;2,"待补充",IF(OR(G204&lt;0,L204&lt;0,L204&gt;1),"检查输入",G204*L204)))</f>
        <v/>
      </c>
      <c r="S204" s="10">
        <f>IF(A204="","",IF(COUNT(M204:N204)&lt;2,"待补充",IF(OR(M204&lt;0,M204&gt;1,N204&lt;0),"检查输入",M204*N204)))</f>
        <v/>
      </c>
      <c r="T204" s="10">
        <f>IF(A204="","",IF(COUNT(F204:N204)&lt;9,"待补充",IF(OR(MIN(F204:N204)&lt;0,L204&gt;1,M204&gt;1),"检查输入",ROUND(F204-SUM(H204:K204)-R204-S204,4))))</f>
        <v/>
      </c>
      <c r="U204" s="10">
        <f>IF(A204="","",IF(COUNT(O204:P204)&lt;2,"待补充",IF(MIN(O204:P204)&lt;0,"检查输入",SUM(O204:P204))))</f>
        <v/>
      </c>
      <c r="V204" s="9">
        <f>IF(A204="","",IF(OR(T204="检查输入",U204="检查输入"),"检查输入",IF(OR(NOT(ISNUMBER(T204)),NOT(ISNUMBER(U204))),"待补充",IF(T204&lt;=0,"不可保本",IFERROR(ROUNDUP(U204/T204,0),"检查输入")))))</f>
        <v/>
      </c>
      <c r="W204" s="10">
        <f>IF(A204="","",IF(OR(NOT(ISNUMBER(T204)),NOT(ISNUMBER(U204)),NOT(ISNUMBER(Q204))),"待补充",IF(OR(Q204&lt;0,Q204&lt;&gt;INT(Q204)),"检查输入",ROUND(Q204*T204-U204,4))))</f>
        <v/>
      </c>
    </row>
    <row r="205" spans="18:23" ht="34" customHeight="1">
      <c r="R205" s="10">
        <f>IF(A205="","",IF(COUNT(G205,L205)&lt;2,"待补充",IF(OR(G205&lt;0,L205&lt;0,L205&gt;1),"检查输入",G205*L205)))</f>
        <v/>
      </c>
      <c r="S205" s="10">
        <f>IF(A205="","",IF(COUNT(M205:N205)&lt;2,"待补充",IF(OR(M205&lt;0,M205&gt;1,N205&lt;0),"检查输入",M205*N205)))</f>
        <v/>
      </c>
      <c r="T205" s="10">
        <f>IF(A205="","",IF(COUNT(F205:N205)&lt;9,"待补充",IF(OR(MIN(F205:N205)&lt;0,L205&gt;1,M205&gt;1),"检查输入",ROUND(F205-SUM(H205:K205)-R205-S205,4))))</f>
        <v/>
      </c>
      <c r="U205" s="10">
        <f>IF(A205="","",IF(COUNT(O205:P205)&lt;2,"待补充",IF(MIN(O205:P205)&lt;0,"检查输入",SUM(O205:P205))))</f>
        <v/>
      </c>
      <c r="V205" s="9">
        <f>IF(A205="","",IF(OR(T205="检查输入",U205="检查输入"),"检查输入",IF(OR(NOT(ISNUMBER(T205)),NOT(ISNUMBER(U205))),"待补充",IF(T205&lt;=0,"不可保本",IFERROR(ROUNDUP(U205/T205,0),"检查输入")))))</f>
        <v/>
      </c>
      <c r="W205" s="10">
        <f>IF(A205="","",IF(OR(NOT(ISNUMBER(T205)),NOT(ISNUMBER(U205)),NOT(ISNUMBER(Q205))),"待补充",IF(OR(Q205&lt;0,Q205&lt;&gt;INT(Q205)),"检查输入",ROUND(Q205*T205-U205,4))))</f>
        <v/>
      </c>
    </row>
    <row r="206" spans="18:23" ht="34" customHeight="1">
      <c r="R206" s="10">
        <f>IF(A206="","",IF(COUNT(G206,L206)&lt;2,"待补充",IF(OR(G206&lt;0,L206&lt;0,L206&gt;1),"检查输入",G206*L206)))</f>
        <v/>
      </c>
      <c r="S206" s="10">
        <f>IF(A206="","",IF(COUNT(M206:N206)&lt;2,"待补充",IF(OR(M206&lt;0,M206&gt;1,N206&lt;0),"检查输入",M206*N206)))</f>
        <v/>
      </c>
      <c r="T206" s="10">
        <f>IF(A206="","",IF(COUNT(F206:N206)&lt;9,"待补充",IF(OR(MIN(F206:N206)&lt;0,L206&gt;1,M206&gt;1),"检查输入",ROUND(F206-SUM(H206:K206)-R206-S206,4))))</f>
        <v/>
      </c>
      <c r="U206" s="10">
        <f>IF(A206="","",IF(COUNT(O206:P206)&lt;2,"待补充",IF(MIN(O206:P206)&lt;0,"检查输入",SUM(O206:P206))))</f>
        <v/>
      </c>
      <c r="V206" s="9">
        <f>IF(A206="","",IF(OR(T206="检查输入",U206="检查输入"),"检查输入",IF(OR(NOT(ISNUMBER(T206)),NOT(ISNUMBER(U206))),"待补充",IF(T206&lt;=0,"不可保本",IFERROR(ROUNDUP(U206/T206,0),"检查输入")))))</f>
        <v/>
      </c>
      <c r="W206" s="10">
        <f>IF(A206="","",IF(OR(NOT(ISNUMBER(T206)),NOT(ISNUMBER(U206)),NOT(ISNUMBER(Q206))),"待补充",IF(OR(Q206&lt;0,Q206&lt;&gt;INT(Q206)),"检查输入",ROUND(Q206*T206-U206,4))))</f>
        <v/>
      </c>
    </row>
    <row r="207" spans="18:23" ht="34" customHeight="1">
      <c r="R207" s="10">
        <f>IF(A207="","",IF(COUNT(G207,L207)&lt;2,"待补充",IF(OR(G207&lt;0,L207&lt;0,L207&gt;1),"检查输入",G207*L207)))</f>
        <v/>
      </c>
      <c r="S207" s="10">
        <f>IF(A207="","",IF(COUNT(M207:N207)&lt;2,"待补充",IF(OR(M207&lt;0,M207&gt;1,N207&lt;0),"检查输入",M207*N207)))</f>
        <v/>
      </c>
      <c r="T207" s="10">
        <f>IF(A207="","",IF(COUNT(F207:N207)&lt;9,"待补充",IF(OR(MIN(F207:N207)&lt;0,L207&gt;1,M207&gt;1),"检查输入",ROUND(F207-SUM(H207:K207)-R207-S207,4))))</f>
        <v/>
      </c>
      <c r="U207" s="10">
        <f>IF(A207="","",IF(COUNT(O207:P207)&lt;2,"待补充",IF(MIN(O207:P207)&lt;0,"检查输入",SUM(O207:P207))))</f>
        <v/>
      </c>
      <c r="V207" s="9">
        <f>IF(A207="","",IF(OR(T207="检查输入",U207="检查输入"),"检查输入",IF(OR(NOT(ISNUMBER(T207)),NOT(ISNUMBER(U207))),"待补充",IF(T207&lt;=0,"不可保本",IFERROR(ROUNDUP(U207/T207,0),"检查输入")))))</f>
        <v/>
      </c>
      <c r="W207" s="10">
        <f>IF(A207="","",IF(OR(NOT(ISNUMBER(T207)),NOT(ISNUMBER(U207)),NOT(ISNUMBER(Q207))),"待补充",IF(OR(Q207&lt;0,Q207&lt;&gt;INT(Q207)),"检查输入",ROUND(Q207*T207-U207,4))))</f>
        <v/>
      </c>
    </row>
    <row r="208" spans="18:23" ht="34" customHeight="1">
      <c r="R208" s="10">
        <f>IF(A208="","",IF(COUNT(G208,L208)&lt;2,"待补充",IF(OR(G208&lt;0,L208&lt;0,L208&gt;1),"检查输入",G208*L208)))</f>
        <v/>
      </c>
      <c r="S208" s="10">
        <f>IF(A208="","",IF(COUNT(M208:N208)&lt;2,"待补充",IF(OR(M208&lt;0,M208&gt;1,N208&lt;0),"检查输入",M208*N208)))</f>
        <v/>
      </c>
      <c r="T208" s="10">
        <f>IF(A208="","",IF(COUNT(F208:N208)&lt;9,"待补充",IF(OR(MIN(F208:N208)&lt;0,L208&gt;1,M208&gt;1),"检查输入",ROUND(F208-SUM(H208:K208)-R208-S208,4))))</f>
        <v/>
      </c>
      <c r="U208" s="10">
        <f>IF(A208="","",IF(COUNT(O208:P208)&lt;2,"待补充",IF(MIN(O208:P208)&lt;0,"检查输入",SUM(O208:P208))))</f>
        <v/>
      </c>
      <c r="V208" s="9">
        <f>IF(A208="","",IF(OR(T208="检查输入",U208="检查输入"),"检查输入",IF(OR(NOT(ISNUMBER(T208)),NOT(ISNUMBER(U208))),"待补充",IF(T208&lt;=0,"不可保本",IFERROR(ROUNDUP(U208/T208,0),"检查输入")))))</f>
        <v/>
      </c>
      <c r="W208" s="10">
        <f>IF(A208="","",IF(OR(NOT(ISNUMBER(T208)),NOT(ISNUMBER(U208)),NOT(ISNUMBER(Q208))),"待补充",IF(OR(Q208&lt;0,Q208&lt;&gt;INT(Q208)),"检查输入",ROUND(Q208*T208-U208,4))))</f>
        <v/>
      </c>
    </row>
    <row r="209" spans="18:23" ht="34" customHeight="1">
      <c r="R209" s="10">
        <f>IF(A209="","",IF(COUNT(G209,L209)&lt;2,"待补充",IF(OR(G209&lt;0,L209&lt;0,L209&gt;1),"检查输入",G209*L209)))</f>
        <v/>
      </c>
      <c r="S209" s="10">
        <f>IF(A209="","",IF(COUNT(M209:N209)&lt;2,"待补充",IF(OR(M209&lt;0,M209&gt;1,N209&lt;0),"检查输入",M209*N209)))</f>
        <v/>
      </c>
      <c r="T209" s="10">
        <f>IF(A209="","",IF(COUNT(F209:N209)&lt;9,"待补充",IF(OR(MIN(F209:N209)&lt;0,L209&gt;1,M209&gt;1),"检查输入",ROUND(F209-SUM(H209:K209)-R209-S209,4))))</f>
        <v/>
      </c>
      <c r="U209" s="10">
        <f>IF(A209="","",IF(COUNT(O209:P209)&lt;2,"待补充",IF(MIN(O209:P209)&lt;0,"检查输入",SUM(O209:P209))))</f>
        <v/>
      </c>
      <c r="V209" s="9">
        <f>IF(A209="","",IF(OR(T209="检查输入",U209="检查输入"),"检查输入",IF(OR(NOT(ISNUMBER(T209)),NOT(ISNUMBER(U209))),"待补充",IF(T209&lt;=0,"不可保本",IFERROR(ROUNDUP(U209/T209,0),"检查输入")))))</f>
        <v/>
      </c>
      <c r="W209" s="10">
        <f>IF(A209="","",IF(OR(NOT(ISNUMBER(T209)),NOT(ISNUMBER(U209)),NOT(ISNUMBER(Q209))),"待补充",IF(OR(Q209&lt;0,Q209&lt;&gt;INT(Q209)),"检查输入",ROUND(Q209*T209-U209,4))))</f>
        <v/>
      </c>
    </row>
    <row r="210" spans="18:23" ht="34" customHeight="1">
      <c r="R210" s="10">
        <f>IF(A210="","",IF(COUNT(G210,L210)&lt;2,"待补充",IF(OR(G210&lt;0,L210&lt;0,L210&gt;1),"检查输入",G210*L210)))</f>
        <v/>
      </c>
      <c r="S210" s="10">
        <f>IF(A210="","",IF(COUNT(M210:N210)&lt;2,"待补充",IF(OR(M210&lt;0,M210&gt;1,N210&lt;0),"检查输入",M210*N210)))</f>
        <v/>
      </c>
      <c r="T210" s="10">
        <f>IF(A210="","",IF(COUNT(F210:N210)&lt;9,"待补充",IF(OR(MIN(F210:N210)&lt;0,L210&gt;1,M210&gt;1),"检查输入",ROUND(F210-SUM(H210:K210)-R210-S210,4))))</f>
        <v/>
      </c>
      <c r="U210" s="10">
        <f>IF(A210="","",IF(COUNT(O210:P210)&lt;2,"待补充",IF(MIN(O210:P210)&lt;0,"检查输入",SUM(O210:P210))))</f>
        <v/>
      </c>
      <c r="V210" s="9">
        <f>IF(A210="","",IF(OR(T210="检查输入",U210="检查输入"),"检查输入",IF(OR(NOT(ISNUMBER(T210)),NOT(ISNUMBER(U210))),"待补充",IF(T210&lt;=0,"不可保本",IFERROR(ROUNDUP(U210/T210,0),"检查输入")))))</f>
        <v/>
      </c>
      <c r="W210" s="10">
        <f>IF(A210="","",IF(OR(NOT(ISNUMBER(T210)),NOT(ISNUMBER(U210)),NOT(ISNUMBER(Q210))),"待补充",IF(OR(Q210&lt;0,Q210&lt;&gt;INT(Q210)),"检查输入",ROUND(Q210*T210-U210,4))))</f>
        <v/>
      </c>
    </row>
    <row r="211" spans="18:23" ht="34" customHeight="1">
      <c r="R211" s="10">
        <f>IF(A211="","",IF(COUNT(G211,L211)&lt;2,"待补充",IF(OR(G211&lt;0,L211&lt;0,L211&gt;1),"检查输入",G211*L211)))</f>
        <v/>
      </c>
      <c r="S211" s="10">
        <f>IF(A211="","",IF(COUNT(M211:N211)&lt;2,"待补充",IF(OR(M211&lt;0,M211&gt;1,N211&lt;0),"检查输入",M211*N211)))</f>
        <v/>
      </c>
      <c r="T211" s="10">
        <f>IF(A211="","",IF(COUNT(F211:N211)&lt;9,"待补充",IF(OR(MIN(F211:N211)&lt;0,L211&gt;1,M211&gt;1),"检查输入",ROUND(F211-SUM(H211:K211)-R211-S211,4))))</f>
        <v/>
      </c>
      <c r="U211" s="10">
        <f>IF(A211="","",IF(COUNT(O211:P211)&lt;2,"待补充",IF(MIN(O211:P211)&lt;0,"检查输入",SUM(O211:P211))))</f>
        <v/>
      </c>
      <c r="V211" s="9">
        <f>IF(A211="","",IF(OR(T211="检查输入",U211="检查输入"),"检查输入",IF(OR(NOT(ISNUMBER(T211)),NOT(ISNUMBER(U211))),"待补充",IF(T211&lt;=0,"不可保本",IFERROR(ROUNDUP(U211/T211,0),"检查输入")))))</f>
        <v/>
      </c>
      <c r="W211" s="10">
        <f>IF(A211="","",IF(OR(NOT(ISNUMBER(T211)),NOT(ISNUMBER(U211)),NOT(ISNUMBER(Q211))),"待补充",IF(OR(Q211&lt;0,Q211&lt;&gt;INT(Q211)),"检查输入",ROUND(Q211*T211-U211,4))))</f>
        <v/>
      </c>
    </row>
    <row r="212" spans="18:23" ht="34" customHeight="1">
      <c r="R212" s="10">
        <f>IF(A212="","",IF(COUNT(G212,L212)&lt;2,"待补充",IF(OR(G212&lt;0,L212&lt;0,L212&gt;1),"检查输入",G212*L212)))</f>
        <v/>
      </c>
      <c r="S212" s="10">
        <f>IF(A212="","",IF(COUNT(M212:N212)&lt;2,"待补充",IF(OR(M212&lt;0,M212&gt;1,N212&lt;0),"检查输入",M212*N212)))</f>
        <v/>
      </c>
      <c r="T212" s="10">
        <f>IF(A212="","",IF(COUNT(F212:N212)&lt;9,"待补充",IF(OR(MIN(F212:N212)&lt;0,L212&gt;1,M212&gt;1),"检查输入",ROUND(F212-SUM(H212:K212)-R212-S212,4))))</f>
        <v/>
      </c>
      <c r="U212" s="10">
        <f>IF(A212="","",IF(COUNT(O212:P212)&lt;2,"待补充",IF(MIN(O212:P212)&lt;0,"检查输入",SUM(O212:P212))))</f>
        <v/>
      </c>
      <c r="V212" s="9">
        <f>IF(A212="","",IF(OR(T212="检查输入",U212="检查输入"),"检查输入",IF(OR(NOT(ISNUMBER(T212)),NOT(ISNUMBER(U212))),"待补充",IF(T212&lt;=0,"不可保本",IFERROR(ROUNDUP(U212/T212,0),"检查输入")))))</f>
        <v/>
      </c>
      <c r="W212" s="10">
        <f>IF(A212="","",IF(OR(NOT(ISNUMBER(T212)),NOT(ISNUMBER(U212)),NOT(ISNUMBER(Q212))),"待补充",IF(OR(Q212&lt;0,Q212&lt;&gt;INT(Q212)),"检查输入",ROUND(Q212*T212-U212,4))))</f>
        <v/>
      </c>
    </row>
    <row r="213" spans="18:23" ht="34" customHeight="1">
      <c r="R213" s="10">
        <f>IF(A213="","",IF(COUNT(G213,L213)&lt;2,"待补充",IF(OR(G213&lt;0,L213&lt;0,L213&gt;1),"检查输入",G213*L213)))</f>
        <v/>
      </c>
      <c r="S213" s="10">
        <f>IF(A213="","",IF(COUNT(M213:N213)&lt;2,"待补充",IF(OR(M213&lt;0,M213&gt;1,N213&lt;0),"检查输入",M213*N213)))</f>
        <v/>
      </c>
      <c r="T213" s="10">
        <f>IF(A213="","",IF(COUNT(F213:N213)&lt;9,"待补充",IF(OR(MIN(F213:N213)&lt;0,L213&gt;1,M213&gt;1),"检查输入",ROUND(F213-SUM(H213:K213)-R213-S213,4))))</f>
        <v/>
      </c>
      <c r="U213" s="10">
        <f>IF(A213="","",IF(COUNT(O213:P213)&lt;2,"待补充",IF(MIN(O213:P213)&lt;0,"检查输入",SUM(O213:P213))))</f>
        <v/>
      </c>
      <c r="V213" s="9">
        <f>IF(A213="","",IF(OR(T213="检查输入",U213="检查输入"),"检查输入",IF(OR(NOT(ISNUMBER(T213)),NOT(ISNUMBER(U213))),"待补充",IF(T213&lt;=0,"不可保本",IFERROR(ROUNDUP(U213/T213,0),"检查输入")))))</f>
        <v/>
      </c>
      <c r="W213" s="10">
        <f>IF(A213="","",IF(OR(NOT(ISNUMBER(T213)),NOT(ISNUMBER(U213)),NOT(ISNUMBER(Q213))),"待补充",IF(OR(Q213&lt;0,Q213&lt;&gt;INT(Q213)),"检查输入",ROUND(Q213*T213-U213,4))))</f>
        <v/>
      </c>
    </row>
    <row r="214" spans="18:23" ht="34" customHeight="1">
      <c r="R214" s="10">
        <f>IF(A214="","",IF(COUNT(G214,L214)&lt;2,"待补充",IF(OR(G214&lt;0,L214&lt;0,L214&gt;1),"检查输入",G214*L214)))</f>
        <v/>
      </c>
      <c r="S214" s="10">
        <f>IF(A214="","",IF(COUNT(M214:N214)&lt;2,"待补充",IF(OR(M214&lt;0,M214&gt;1,N214&lt;0),"检查输入",M214*N214)))</f>
        <v/>
      </c>
      <c r="T214" s="10">
        <f>IF(A214="","",IF(COUNT(F214:N214)&lt;9,"待补充",IF(OR(MIN(F214:N214)&lt;0,L214&gt;1,M214&gt;1),"检查输入",ROUND(F214-SUM(H214:K214)-R214-S214,4))))</f>
        <v/>
      </c>
      <c r="U214" s="10">
        <f>IF(A214="","",IF(COUNT(O214:P214)&lt;2,"待补充",IF(MIN(O214:P214)&lt;0,"检查输入",SUM(O214:P214))))</f>
        <v/>
      </c>
      <c r="V214" s="9">
        <f>IF(A214="","",IF(OR(T214="检查输入",U214="检查输入"),"检查输入",IF(OR(NOT(ISNUMBER(T214)),NOT(ISNUMBER(U214))),"待补充",IF(T214&lt;=0,"不可保本",IFERROR(ROUNDUP(U214/T214,0),"检查输入")))))</f>
        <v/>
      </c>
      <c r="W214" s="10">
        <f>IF(A214="","",IF(OR(NOT(ISNUMBER(T214)),NOT(ISNUMBER(U214)),NOT(ISNUMBER(Q214))),"待补充",IF(OR(Q214&lt;0,Q214&lt;&gt;INT(Q214)),"检查输入",ROUND(Q214*T214-U214,4))))</f>
        <v/>
      </c>
    </row>
    <row r="215" spans="18:23" ht="34" customHeight="1">
      <c r="R215" s="10">
        <f>IF(A215="","",IF(COUNT(G215,L215)&lt;2,"待补充",IF(OR(G215&lt;0,L215&lt;0,L215&gt;1),"检查输入",G215*L215)))</f>
        <v/>
      </c>
      <c r="S215" s="10">
        <f>IF(A215="","",IF(COUNT(M215:N215)&lt;2,"待补充",IF(OR(M215&lt;0,M215&gt;1,N215&lt;0),"检查输入",M215*N215)))</f>
        <v/>
      </c>
      <c r="T215" s="10">
        <f>IF(A215="","",IF(COUNT(F215:N215)&lt;9,"待补充",IF(OR(MIN(F215:N215)&lt;0,L215&gt;1,M215&gt;1),"检查输入",ROUND(F215-SUM(H215:K215)-R215-S215,4))))</f>
        <v/>
      </c>
      <c r="U215" s="10">
        <f>IF(A215="","",IF(COUNT(O215:P215)&lt;2,"待补充",IF(MIN(O215:P215)&lt;0,"检查输入",SUM(O215:P215))))</f>
        <v/>
      </c>
      <c r="V215" s="9">
        <f>IF(A215="","",IF(OR(T215="检查输入",U215="检查输入"),"检查输入",IF(OR(NOT(ISNUMBER(T215)),NOT(ISNUMBER(U215))),"待补充",IF(T215&lt;=0,"不可保本",IFERROR(ROUNDUP(U215/T215,0),"检查输入")))))</f>
        <v/>
      </c>
      <c r="W215" s="10">
        <f>IF(A215="","",IF(OR(NOT(ISNUMBER(T215)),NOT(ISNUMBER(U215)),NOT(ISNUMBER(Q215))),"待补充",IF(OR(Q215&lt;0,Q215&lt;&gt;INT(Q215)),"检查输入",ROUND(Q215*T215-U215,4))))</f>
        <v/>
      </c>
    </row>
    <row r="216" spans="18:23" ht="34" customHeight="1">
      <c r="R216" s="10">
        <f>IF(A216="","",IF(COUNT(G216,L216)&lt;2,"待补充",IF(OR(G216&lt;0,L216&lt;0,L216&gt;1),"检查输入",G216*L216)))</f>
        <v/>
      </c>
      <c r="S216" s="10">
        <f>IF(A216="","",IF(COUNT(M216:N216)&lt;2,"待补充",IF(OR(M216&lt;0,M216&gt;1,N216&lt;0),"检查输入",M216*N216)))</f>
        <v/>
      </c>
      <c r="T216" s="10">
        <f>IF(A216="","",IF(COUNT(F216:N216)&lt;9,"待补充",IF(OR(MIN(F216:N216)&lt;0,L216&gt;1,M216&gt;1),"检查输入",ROUND(F216-SUM(H216:K216)-R216-S216,4))))</f>
        <v/>
      </c>
      <c r="U216" s="10">
        <f>IF(A216="","",IF(COUNT(O216:P216)&lt;2,"待补充",IF(MIN(O216:P216)&lt;0,"检查输入",SUM(O216:P216))))</f>
        <v/>
      </c>
      <c r="V216" s="9">
        <f>IF(A216="","",IF(OR(T216="检查输入",U216="检查输入"),"检查输入",IF(OR(NOT(ISNUMBER(T216)),NOT(ISNUMBER(U216))),"待补充",IF(T216&lt;=0,"不可保本",IFERROR(ROUNDUP(U216/T216,0),"检查输入")))))</f>
        <v/>
      </c>
      <c r="W216" s="10">
        <f>IF(A216="","",IF(OR(NOT(ISNUMBER(T216)),NOT(ISNUMBER(U216)),NOT(ISNUMBER(Q216))),"待补充",IF(OR(Q216&lt;0,Q216&lt;&gt;INT(Q216)),"检查输入",ROUND(Q216*T216-U216,4))))</f>
        <v/>
      </c>
    </row>
    <row r="217" spans="18:23" ht="34" customHeight="1">
      <c r="R217" s="10">
        <f>IF(A217="","",IF(COUNT(G217,L217)&lt;2,"待补充",IF(OR(G217&lt;0,L217&lt;0,L217&gt;1),"检查输入",G217*L217)))</f>
        <v/>
      </c>
      <c r="S217" s="10">
        <f>IF(A217="","",IF(COUNT(M217:N217)&lt;2,"待补充",IF(OR(M217&lt;0,M217&gt;1,N217&lt;0),"检查输入",M217*N217)))</f>
        <v/>
      </c>
      <c r="T217" s="10">
        <f>IF(A217="","",IF(COUNT(F217:N217)&lt;9,"待补充",IF(OR(MIN(F217:N217)&lt;0,L217&gt;1,M217&gt;1),"检查输入",ROUND(F217-SUM(H217:K217)-R217-S217,4))))</f>
        <v/>
      </c>
      <c r="U217" s="10">
        <f>IF(A217="","",IF(COUNT(O217:P217)&lt;2,"待补充",IF(MIN(O217:P217)&lt;0,"检查输入",SUM(O217:P217))))</f>
        <v/>
      </c>
      <c r="V217" s="9">
        <f>IF(A217="","",IF(OR(T217="检查输入",U217="检查输入"),"检查输入",IF(OR(NOT(ISNUMBER(T217)),NOT(ISNUMBER(U217))),"待补充",IF(T217&lt;=0,"不可保本",IFERROR(ROUNDUP(U217/T217,0),"检查输入")))))</f>
        <v/>
      </c>
      <c r="W217" s="10">
        <f>IF(A217="","",IF(OR(NOT(ISNUMBER(T217)),NOT(ISNUMBER(U217)),NOT(ISNUMBER(Q217))),"待补充",IF(OR(Q217&lt;0,Q217&lt;&gt;INT(Q217)),"检查输入",ROUND(Q217*T217-U217,4))))</f>
        <v/>
      </c>
    </row>
    <row r="218" spans="18:23" ht="34" customHeight="1">
      <c r="R218" s="10">
        <f>IF(A218="","",IF(COUNT(G218,L218)&lt;2,"待补充",IF(OR(G218&lt;0,L218&lt;0,L218&gt;1),"检查输入",G218*L218)))</f>
        <v/>
      </c>
      <c r="S218" s="10">
        <f>IF(A218="","",IF(COUNT(M218:N218)&lt;2,"待补充",IF(OR(M218&lt;0,M218&gt;1,N218&lt;0),"检查输入",M218*N218)))</f>
        <v/>
      </c>
      <c r="T218" s="10">
        <f>IF(A218="","",IF(COUNT(F218:N218)&lt;9,"待补充",IF(OR(MIN(F218:N218)&lt;0,L218&gt;1,M218&gt;1),"检查输入",ROUND(F218-SUM(H218:K218)-R218-S218,4))))</f>
        <v/>
      </c>
      <c r="U218" s="10">
        <f>IF(A218="","",IF(COUNT(O218:P218)&lt;2,"待补充",IF(MIN(O218:P218)&lt;0,"检查输入",SUM(O218:P218))))</f>
        <v/>
      </c>
      <c r="V218" s="9">
        <f>IF(A218="","",IF(OR(T218="检查输入",U218="检查输入"),"检查输入",IF(OR(NOT(ISNUMBER(T218)),NOT(ISNUMBER(U218))),"待补充",IF(T218&lt;=0,"不可保本",IFERROR(ROUNDUP(U218/T218,0),"检查输入")))))</f>
        <v/>
      </c>
      <c r="W218" s="10">
        <f>IF(A218="","",IF(OR(NOT(ISNUMBER(T218)),NOT(ISNUMBER(U218)),NOT(ISNUMBER(Q218))),"待补充",IF(OR(Q218&lt;0,Q218&lt;&gt;INT(Q218)),"检查输入",ROUND(Q218*T218-U218,4))))</f>
        <v/>
      </c>
    </row>
    <row r="219" spans="18:23" ht="34" customHeight="1">
      <c r="R219" s="10">
        <f>IF(A219="","",IF(COUNT(G219,L219)&lt;2,"待补充",IF(OR(G219&lt;0,L219&lt;0,L219&gt;1),"检查输入",G219*L219)))</f>
        <v/>
      </c>
      <c r="S219" s="10">
        <f>IF(A219="","",IF(COUNT(M219:N219)&lt;2,"待补充",IF(OR(M219&lt;0,M219&gt;1,N219&lt;0),"检查输入",M219*N219)))</f>
        <v/>
      </c>
      <c r="T219" s="10">
        <f>IF(A219="","",IF(COUNT(F219:N219)&lt;9,"待补充",IF(OR(MIN(F219:N219)&lt;0,L219&gt;1,M219&gt;1),"检查输入",ROUND(F219-SUM(H219:K219)-R219-S219,4))))</f>
        <v/>
      </c>
      <c r="U219" s="10">
        <f>IF(A219="","",IF(COUNT(O219:P219)&lt;2,"待补充",IF(MIN(O219:P219)&lt;0,"检查输入",SUM(O219:P219))))</f>
        <v/>
      </c>
      <c r="V219" s="9">
        <f>IF(A219="","",IF(OR(T219="检查输入",U219="检查输入"),"检查输入",IF(OR(NOT(ISNUMBER(T219)),NOT(ISNUMBER(U219))),"待补充",IF(T219&lt;=0,"不可保本",IFERROR(ROUNDUP(U219/T219,0),"检查输入")))))</f>
        <v/>
      </c>
      <c r="W219" s="10">
        <f>IF(A219="","",IF(OR(NOT(ISNUMBER(T219)),NOT(ISNUMBER(U219)),NOT(ISNUMBER(Q219))),"待补充",IF(OR(Q219&lt;0,Q219&lt;&gt;INT(Q219)),"检查输入",ROUND(Q219*T219-U219,4))))</f>
        <v/>
      </c>
    </row>
    <row r="220" spans="18:23" ht="34" customHeight="1">
      <c r="R220" s="10">
        <f>IF(A220="","",IF(COUNT(G220,L220)&lt;2,"待补充",IF(OR(G220&lt;0,L220&lt;0,L220&gt;1),"检查输入",G220*L220)))</f>
        <v/>
      </c>
      <c r="S220" s="10">
        <f>IF(A220="","",IF(COUNT(M220:N220)&lt;2,"待补充",IF(OR(M220&lt;0,M220&gt;1,N220&lt;0),"检查输入",M220*N220)))</f>
        <v/>
      </c>
      <c r="T220" s="10">
        <f>IF(A220="","",IF(COUNT(F220:N220)&lt;9,"待补充",IF(OR(MIN(F220:N220)&lt;0,L220&gt;1,M220&gt;1),"检查输入",ROUND(F220-SUM(H220:K220)-R220-S220,4))))</f>
        <v/>
      </c>
      <c r="U220" s="10">
        <f>IF(A220="","",IF(COUNT(O220:P220)&lt;2,"待补充",IF(MIN(O220:P220)&lt;0,"检查输入",SUM(O220:P220))))</f>
        <v/>
      </c>
      <c r="V220" s="9">
        <f>IF(A220="","",IF(OR(T220="检查输入",U220="检查输入"),"检查输入",IF(OR(NOT(ISNUMBER(T220)),NOT(ISNUMBER(U220))),"待补充",IF(T220&lt;=0,"不可保本",IFERROR(ROUNDUP(U220/T220,0),"检查输入")))))</f>
        <v/>
      </c>
      <c r="W220" s="10">
        <f>IF(A220="","",IF(OR(NOT(ISNUMBER(T220)),NOT(ISNUMBER(U220)),NOT(ISNUMBER(Q220))),"待补充",IF(OR(Q220&lt;0,Q220&lt;&gt;INT(Q220)),"检查输入",ROUND(Q220*T220-U220,4))))</f>
        <v/>
      </c>
    </row>
    <row r="221" spans="18:23" ht="34" customHeight="1">
      <c r="R221" s="10">
        <f>IF(A221="","",IF(COUNT(G221,L221)&lt;2,"待补充",IF(OR(G221&lt;0,L221&lt;0,L221&gt;1),"检查输入",G221*L221)))</f>
        <v/>
      </c>
      <c r="S221" s="10">
        <f>IF(A221="","",IF(COUNT(M221:N221)&lt;2,"待补充",IF(OR(M221&lt;0,M221&gt;1,N221&lt;0),"检查输入",M221*N221)))</f>
        <v/>
      </c>
      <c r="T221" s="10">
        <f>IF(A221="","",IF(COUNT(F221:N221)&lt;9,"待补充",IF(OR(MIN(F221:N221)&lt;0,L221&gt;1,M221&gt;1),"检查输入",ROUND(F221-SUM(H221:K221)-R221-S221,4))))</f>
        <v/>
      </c>
      <c r="U221" s="10">
        <f>IF(A221="","",IF(COUNT(O221:P221)&lt;2,"待补充",IF(MIN(O221:P221)&lt;0,"检查输入",SUM(O221:P221))))</f>
        <v/>
      </c>
      <c r="V221" s="9">
        <f>IF(A221="","",IF(OR(T221="检查输入",U221="检查输入"),"检查输入",IF(OR(NOT(ISNUMBER(T221)),NOT(ISNUMBER(U221))),"待补充",IF(T221&lt;=0,"不可保本",IFERROR(ROUNDUP(U221/T221,0),"检查输入")))))</f>
        <v/>
      </c>
      <c r="W221" s="10">
        <f>IF(A221="","",IF(OR(NOT(ISNUMBER(T221)),NOT(ISNUMBER(U221)),NOT(ISNUMBER(Q221))),"待补充",IF(OR(Q221&lt;0,Q221&lt;&gt;INT(Q221)),"检查输入",ROUND(Q221*T221-U221,4))))</f>
        <v/>
      </c>
    </row>
    <row r="222" spans="18:23" ht="34" customHeight="1">
      <c r="R222" s="10">
        <f>IF(A222="","",IF(COUNT(G222,L222)&lt;2,"待补充",IF(OR(G222&lt;0,L222&lt;0,L222&gt;1),"检查输入",G222*L222)))</f>
        <v/>
      </c>
      <c r="S222" s="10">
        <f>IF(A222="","",IF(COUNT(M222:N222)&lt;2,"待补充",IF(OR(M222&lt;0,M222&gt;1,N222&lt;0),"检查输入",M222*N222)))</f>
        <v/>
      </c>
      <c r="T222" s="10">
        <f>IF(A222="","",IF(COUNT(F222:N222)&lt;9,"待补充",IF(OR(MIN(F222:N222)&lt;0,L222&gt;1,M222&gt;1),"检查输入",ROUND(F222-SUM(H222:K222)-R222-S222,4))))</f>
        <v/>
      </c>
      <c r="U222" s="10">
        <f>IF(A222="","",IF(COUNT(O222:P222)&lt;2,"待补充",IF(MIN(O222:P222)&lt;0,"检查输入",SUM(O222:P222))))</f>
        <v/>
      </c>
      <c r="V222" s="9">
        <f>IF(A222="","",IF(OR(T222="检查输入",U222="检查输入"),"检查输入",IF(OR(NOT(ISNUMBER(T222)),NOT(ISNUMBER(U222))),"待补充",IF(T222&lt;=0,"不可保本",IFERROR(ROUNDUP(U222/T222,0),"检查输入")))))</f>
        <v/>
      </c>
      <c r="W222" s="10">
        <f>IF(A222="","",IF(OR(NOT(ISNUMBER(T222)),NOT(ISNUMBER(U222)),NOT(ISNUMBER(Q222))),"待补充",IF(OR(Q222&lt;0,Q222&lt;&gt;INT(Q222)),"检查输入",ROUND(Q222*T222-U222,4))))</f>
        <v/>
      </c>
    </row>
    <row r="223" spans="18:23" ht="34" customHeight="1">
      <c r="R223" s="10">
        <f>IF(A223="","",IF(COUNT(G223,L223)&lt;2,"待补充",IF(OR(G223&lt;0,L223&lt;0,L223&gt;1),"检查输入",G223*L223)))</f>
        <v/>
      </c>
      <c r="S223" s="10">
        <f>IF(A223="","",IF(COUNT(M223:N223)&lt;2,"待补充",IF(OR(M223&lt;0,M223&gt;1,N223&lt;0),"检查输入",M223*N223)))</f>
        <v/>
      </c>
      <c r="T223" s="10">
        <f>IF(A223="","",IF(COUNT(F223:N223)&lt;9,"待补充",IF(OR(MIN(F223:N223)&lt;0,L223&gt;1,M223&gt;1),"检查输入",ROUND(F223-SUM(H223:K223)-R223-S223,4))))</f>
        <v/>
      </c>
      <c r="U223" s="10">
        <f>IF(A223="","",IF(COUNT(O223:P223)&lt;2,"待补充",IF(MIN(O223:P223)&lt;0,"检查输入",SUM(O223:P223))))</f>
        <v/>
      </c>
      <c r="V223" s="9">
        <f>IF(A223="","",IF(OR(T223="检查输入",U223="检查输入"),"检查输入",IF(OR(NOT(ISNUMBER(T223)),NOT(ISNUMBER(U223))),"待补充",IF(T223&lt;=0,"不可保本",IFERROR(ROUNDUP(U223/T223,0),"检查输入")))))</f>
        <v/>
      </c>
      <c r="W223" s="10">
        <f>IF(A223="","",IF(OR(NOT(ISNUMBER(T223)),NOT(ISNUMBER(U223)),NOT(ISNUMBER(Q223))),"待补充",IF(OR(Q223&lt;0,Q223&lt;&gt;INT(Q223)),"检查输入",ROUND(Q223*T223-U223,4))))</f>
        <v/>
      </c>
    </row>
    <row r="224" spans="18:23" ht="34" customHeight="1">
      <c r="R224" s="10">
        <f>IF(A224="","",IF(COUNT(G224,L224)&lt;2,"待补充",IF(OR(G224&lt;0,L224&lt;0,L224&gt;1),"检查输入",G224*L224)))</f>
        <v/>
      </c>
      <c r="S224" s="10">
        <f>IF(A224="","",IF(COUNT(M224:N224)&lt;2,"待补充",IF(OR(M224&lt;0,M224&gt;1,N224&lt;0),"检查输入",M224*N224)))</f>
        <v/>
      </c>
      <c r="T224" s="10">
        <f>IF(A224="","",IF(COUNT(F224:N224)&lt;9,"待补充",IF(OR(MIN(F224:N224)&lt;0,L224&gt;1,M224&gt;1),"检查输入",ROUND(F224-SUM(H224:K224)-R224-S224,4))))</f>
        <v/>
      </c>
      <c r="U224" s="10">
        <f>IF(A224="","",IF(COUNT(O224:P224)&lt;2,"待补充",IF(MIN(O224:P224)&lt;0,"检查输入",SUM(O224:P224))))</f>
        <v/>
      </c>
      <c r="V224" s="9">
        <f>IF(A224="","",IF(OR(T224="检查输入",U224="检查输入"),"检查输入",IF(OR(NOT(ISNUMBER(T224)),NOT(ISNUMBER(U224))),"待补充",IF(T224&lt;=0,"不可保本",IFERROR(ROUNDUP(U224/T224,0),"检查输入")))))</f>
        <v/>
      </c>
      <c r="W224" s="10">
        <f>IF(A224="","",IF(OR(NOT(ISNUMBER(T224)),NOT(ISNUMBER(U224)),NOT(ISNUMBER(Q224))),"待补充",IF(OR(Q224&lt;0,Q224&lt;&gt;INT(Q224)),"检查输入",ROUND(Q224*T224-U224,4))))</f>
        <v/>
      </c>
    </row>
    <row r="225" spans="18:23" ht="34" customHeight="1">
      <c r="R225" s="10">
        <f>IF(A225="","",IF(COUNT(G225,L225)&lt;2,"待补充",IF(OR(G225&lt;0,L225&lt;0,L225&gt;1),"检查输入",G225*L225)))</f>
        <v/>
      </c>
      <c r="S225" s="10">
        <f>IF(A225="","",IF(COUNT(M225:N225)&lt;2,"待补充",IF(OR(M225&lt;0,M225&gt;1,N225&lt;0),"检查输入",M225*N225)))</f>
        <v/>
      </c>
      <c r="T225" s="10">
        <f>IF(A225="","",IF(COUNT(F225:N225)&lt;9,"待补充",IF(OR(MIN(F225:N225)&lt;0,L225&gt;1,M225&gt;1),"检查输入",ROUND(F225-SUM(H225:K225)-R225-S225,4))))</f>
        <v/>
      </c>
      <c r="U225" s="10">
        <f>IF(A225="","",IF(COUNT(O225:P225)&lt;2,"待补充",IF(MIN(O225:P225)&lt;0,"检查输入",SUM(O225:P225))))</f>
        <v/>
      </c>
      <c r="V225" s="9">
        <f>IF(A225="","",IF(OR(T225="检查输入",U225="检查输入"),"检查输入",IF(OR(NOT(ISNUMBER(T225)),NOT(ISNUMBER(U225))),"待补充",IF(T225&lt;=0,"不可保本",IFERROR(ROUNDUP(U225/T225,0),"检查输入")))))</f>
        <v/>
      </c>
      <c r="W225" s="10">
        <f>IF(A225="","",IF(OR(NOT(ISNUMBER(T225)),NOT(ISNUMBER(U225)),NOT(ISNUMBER(Q225))),"待补充",IF(OR(Q225&lt;0,Q225&lt;&gt;INT(Q225)),"检查输入",ROUND(Q225*T225-U225,4))))</f>
        <v/>
      </c>
    </row>
    <row r="226" spans="18:23" ht="34" customHeight="1">
      <c r="R226" s="10">
        <f>IF(A226="","",IF(COUNT(G226,L226)&lt;2,"待补充",IF(OR(G226&lt;0,L226&lt;0,L226&gt;1),"检查输入",G226*L226)))</f>
        <v/>
      </c>
      <c r="S226" s="10">
        <f>IF(A226="","",IF(COUNT(M226:N226)&lt;2,"待补充",IF(OR(M226&lt;0,M226&gt;1,N226&lt;0),"检查输入",M226*N226)))</f>
        <v/>
      </c>
      <c r="T226" s="10">
        <f>IF(A226="","",IF(COUNT(F226:N226)&lt;9,"待补充",IF(OR(MIN(F226:N226)&lt;0,L226&gt;1,M226&gt;1),"检查输入",ROUND(F226-SUM(H226:K226)-R226-S226,4))))</f>
        <v/>
      </c>
      <c r="U226" s="10">
        <f>IF(A226="","",IF(COUNT(O226:P226)&lt;2,"待补充",IF(MIN(O226:P226)&lt;0,"检查输入",SUM(O226:P226))))</f>
        <v/>
      </c>
      <c r="V226" s="9">
        <f>IF(A226="","",IF(OR(T226="检查输入",U226="检查输入"),"检查输入",IF(OR(NOT(ISNUMBER(T226)),NOT(ISNUMBER(U226))),"待补充",IF(T226&lt;=0,"不可保本",IFERROR(ROUNDUP(U226/T226,0),"检查输入")))))</f>
        <v/>
      </c>
      <c r="W226" s="10">
        <f>IF(A226="","",IF(OR(NOT(ISNUMBER(T226)),NOT(ISNUMBER(U226)),NOT(ISNUMBER(Q226))),"待补充",IF(OR(Q226&lt;0,Q226&lt;&gt;INT(Q226)),"检查输入",ROUND(Q226*T226-U226,4))))</f>
        <v/>
      </c>
    </row>
    <row r="227" spans="18:23" ht="34" customHeight="1">
      <c r="R227" s="10">
        <f>IF(A227="","",IF(COUNT(G227,L227)&lt;2,"待补充",IF(OR(G227&lt;0,L227&lt;0,L227&gt;1),"检查输入",G227*L227)))</f>
        <v/>
      </c>
      <c r="S227" s="10">
        <f>IF(A227="","",IF(COUNT(M227:N227)&lt;2,"待补充",IF(OR(M227&lt;0,M227&gt;1,N227&lt;0),"检查输入",M227*N227)))</f>
        <v/>
      </c>
      <c r="T227" s="10">
        <f>IF(A227="","",IF(COUNT(F227:N227)&lt;9,"待补充",IF(OR(MIN(F227:N227)&lt;0,L227&gt;1,M227&gt;1),"检查输入",ROUND(F227-SUM(H227:K227)-R227-S227,4))))</f>
        <v/>
      </c>
      <c r="U227" s="10">
        <f>IF(A227="","",IF(COUNT(O227:P227)&lt;2,"待补充",IF(MIN(O227:P227)&lt;0,"检查输入",SUM(O227:P227))))</f>
        <v/>
      </c>
      <c r="V227" s="9">
        <f>IF(A227="","",IF(OR(T227="检查输入",U227="检查输入"),"检查输入",IF(OR(NOT(ISNUMBER(T227)),NOT(ISNUMBER(U227))),"待补充",IF(T227&lt;=0,"不可保本",IFERROR(ROUNDUP(U227/T227,0),"检查输入")))))</f>
        <v/>
      </c>
      <c r="W227" s="10">
        <f>IF(A227="","",IF(OR(NOT(ISNUMBER(T227)),NOT(ISNUMBER(U227)),NOT(ISNUMBER(Q227))),"待补充",IF(OR(Q227&lt;0,Q227&lt;&gt;INT(Q227)),"检查输入",ROUND(Q227*T227-U227,4))))</f>
        <v/>
      </c>
    </row>
    <row r="228" spans="18:23" ht="34" customHeight="1">
      <c r="R228" s="10">
        <f>IF(A228="","",IF(COUNT(G228,L228)&lt;2,"待补充",IF(OR(G228&lt;0,L228&lt;0,L228&gt;1),"检查输入",G228*L228)))</f>
        <v/>
      </c>
      <c r="S228" s="10">
        <f>IF(A228="","",IF(COUNT(M228:N228)&lt;2,"待补充",IF(OR(M228&lt;0,M228&gt;1,N228&lt;0),"检查输入",M228*N228)))</f>
        <v/>
      </c>
      <c r="T228" s="10">
        <f>IF(A228="","",IF(COUNT(F228:N228)&lt;9,"待补充",IF(OR(MIN(F228:N228)&lt;0,L228&gt;1,M228&gt;1),"检查输入",ROUND(F228-SUM(H228:K228)-R228-S228,4))))</f>
        <v/>
      </c>
      <c r="U228" s="10">
        <f>IF(A228="","",IF(COUNT(O228:P228)&lt;2,"待补充",IF(MIN(O228:P228)&lt;0,"检查输入",SUM(O228:P228))))</f>
        <v/>
      </c>
      <c r="V228" s="9">
        <f>IF(A228="","",IF(OR(T228="检查输入",U228="检查输入"),"检查输入",IF(OR(NOT(ISNUMBER(T228)),NOT(ISNUMBER(U228))),"待补充",IF(T228&lt;=0,"不可保本",IFERROR(ROUNDUP(U228/T228,0),"检查输入")))))</f>
        <v/>
      </c>
      <c r="W228" s="10">
        <f>IF(A228="","",IF(OR(NOT(ISNUMBER(T228)),NOT(ISNUMBER(U228)),NOT(ISNUMBER(Q228))),"待补充",IF(OR(Q228&lt;0,Q228&lt;&gt;INT(Q228)),"检查输入",ROUND(Q228*T228-U228,4))))</f>
        <v/>
      </c>
    </row>
    <row r="229" spans="18:23" ht="34" customHeight="1">
      <c r="R229" s="10">
        <f>IF(A229="","",IF(COUNT(G229,L229)&lt;2,"待补充",IF(OR(G229&lt;0,L229&lt;0,L229&gt;1),"检查输入",G229*L229)))</f>
        <v/>
      </c>
      <c r="S229" s="10">
        <f>IF(A229="","",IF(COUNT(M229:N229)&lt;2,"待补充",IF(OR(M229&lt;0,M229&gt;1,N229&lt;0),"检查输入",M229*N229)))</f>
        <v/>
      </c>
      <c r="T229" s="10">
        <f>IF(A229="","",IF(COUNT(F229:N229)&lt;9,"待补充",IF(OR(MIN(F229:N229)&lt;0,L229&gt;1,M229&gt;1),"检查输入",ROUND(F229-SUM(H229:K229)-R229-S229,4))))</f>
        <v/>
      </c>
      <c r="U229" s="10">
        <f>IF(A229="","",IF(COUNT(O229:P229)&lt;2,"待补充",IF(MIN(O229:P229)&lt;0,"检查输入",SUM(O229:P229))))</f>
        <v/>
      </c>
      <c r="V229" s="9">
        <f>IF(A229="","",IF(OR(T229="检查输入",U229="检查输入"),"检查输入",IF(OR(NOT(ISNUMBER(T229)),NOT(ISNUMBER(U229))),"待补充",IF(T229&lt;=0,"不可保本",IFERROR(ROUNDUP(U229/T229,0),"检查输入")))))</f>
        <v/>
      </c>
      <c r="W229" s="10">
        <f>IF(A229="","",IF(OR(NOT(ISNUMBER(T229)),NOT(ISNUMBER(U229)),NOT(ISNUMBER(Q229))),"待补充",IF(OR(Q229&lt;0,Q229&lt;&gt;INT(Q229)),"检查输入",ROUND(Q229*T229-U229,4))))</f>
        <v/>
      </c>
    </row>
    <row r="230" spans="18:23" ht="34" customHeight="1">
      <c r="R230" s="10">
        <f>IF(A230="","",IF(COUNT(G230,L230)&lt;2,"待补充",IF(OR(G230&lt;0,L230&lt;0,L230&gt;1),"检查输入",G230*L230)))</f>
        <v/>
      </c>
      <c r="S230" s="10">
        <f>IF(A230="","",IF(COUNT(M230:N230)&lt;2,"待补充",IF(OR(M230&lt;0,M230&gt;1,N230&lt;0),"检查输入",M230*N230)))</f>
        <v/>
      </c>
      <c r="T230" s="10">
        <f>IF(A230="","",IF(COUNT(F230:N230)&lt;9,"待补充",IF(OR(MIN(F230:N230)&lt;0,L230&gt;1,M230&gt;1),"检查输入",ROUND(F230-SUM(H230:K230)-R230-S230,4))))</f>
        <v/>
      </c>
      <c r="U230" s="10">
        <f>IF(A230="","",IF(COUNT(O230:P230)&lt;2,"待补充",IF(MIN(O230:P230)&lt;0,"检查输入",SUM(O230:P230))))</f>
        <v/>
      </c>
      <c r="V230" s="9">
        <f>IF(A230="","",IF(OR(T230="检查输入",U230="检查输入"),"检查输入",IF(OR(NOT(ISNUMBER(T230)),NOT(ISNUMBER(U230))),"待补充",IF(T230&lt;=0,"不可保本",IFERROR(ROUNDUP(U230/T230,0),"检查输入")))))</f>
        <v/>
      </c>
      <c r="W230" s="10">
        <f>IF(A230="","",IF(OR(NOT(ISNUMBER(T230)),NOT(ISNUMBER(U230)),NOT(ISNUMBER(Q230))),"待补充",IF(OR(Q230&lt;0,Q230&lt;&gt;INT(Q230)),"检查输入",ROUND(Q230*T230-U230,4))))</f>
        <v/>
      </c>
    </row>
    <row r="231" spans="18:23" ht="34" customHeight="1">
      <c r="R231" s="10">
        <f>IF(A231="","",IF(COUNT(G231,L231)&lt;2,"待补充",IF(OR(G231&lt;0,L231&lt;0,L231&gt;1),"检查输入",G231*L231)))</f>
        <v/>
      </c>
      <c r="S231" s="10">
        <f>IF(A231="","",IF(COUNT(M231:N231)&lt;2,"待补充",IF(OR(M231&lt;0,M231&gt;1,N231&lt;0),"检查输入",M231*N231)))</f>
        <v/>
      </c>
      <c r="T231" s="10">
        <f>IF(A231="","",IF(COUNT(F231:N231)&lt;9,"待补充",IF(OR(MIN(F231:N231)&lt;0,L231&gt;1,M231&gt;1),"检查输入",ROUND(F231-SUM(H231:K231)-R231-S231,4))))</f>
        <v/>
      </c>
      <c r="U231" s="10">
        <f>IF(A231="","",IF(COUNT(O231:P231)&lt;2,"待补充",IF(MIN(O231:P231)&lt;0,"检查输入",SUM(O231:P231))))</f>
        <v/>
      </c>
      <c r="V231" s="9">
        <f>IF(A231="","",IF(OR(T231="检查输入",U231="检查输入"),"检查输入",IF(OR(NOT(ISNUMBER(T231)),NOT(ISNUMBER(U231))),"待补充",IF(T231&lt;=0,"不可保本",IFERROR(ROUNDUP(U231/T231,0),"检查输入")))))</f>
        <v/>
      </c>
      <c r="W231" s="10">
        <f>IF(A231="","",IF(OR(NOT(ISNUMBER(T231)),NOT(ISNUMBER(U231)),NOT(ISNUMBER(Q231))),"待补充",IF(OR(Q231&lt;0,Q231&lt;&gt;INT(Q231)),"检查输入",ROUND(Q231*T231-U231,4))))</f>
        <v/>
      </c>
    </row>
    <row r="232" spans="18:23" ht="34" customHeight="1">
      <c r="R232" s="10">
        <f>IF(A232="","",IF(COUNT(G232,L232)&lt;2,"待补充",IF(OR(G232&lt;0,L232&lt;0,L232&gt;1),"检查输入",G232*L232)))</f>
        <v/>
      </c>
      <c r="S232" s="10">
        <f>IF(A232="","",IF(COUNT(M232:N232)&lt;2,"待补充",IF(OR(M232&lt;0,M232&gt;1,N232&lt;0),"检查输入",M232*N232)))</f>
        <v/>
      </c>
      <c r="T232" s="10">
        <f>IF(A232="","",IF(COUNT(F232:N232)&lt;9,"待补充",IF(OR(MIN(F232:N232)&lt;0,L232&gt;1,M232&gt;1),"检查输入",ROUND(F232-SUM(H232:K232)-R232-S232,4))))</f>
        <v/>
      </c>
      <c r="U232" s="10">
        <f>IF(A232="","",IF(COUNT(O232:P232)&lt;2,"待补充",IF(MIN(O232:P232)&lt;0,"检查输入",SUM(O232:P232))))</f>
        <v/>
      </c>
      <c r="V232" s="9">
        <f>IF(A232="","",IF(OR(T232="检查输入",U232="检查输入"),"检查输入",IF(OR(NOT(ISNUMBER(T232)),NOT(ISNUMBER(U232))),"待补充",IF(T232&lt;=0,"不可保本",IFERROR(ROUNDUP(U232/T232,0),"检查输入")))))</f>
        <v/>
      </c>
      <c r="W232" s="10">
        <f>IF(A232="","",IF(OR(NOT(ISNUMBER(T232)),NOT(ISNUMBER(U232)),NOT(ISNUMBER(Q232))),"待补充",IF(OR(Q232&lt;0,Q232&lt;&gt;INT(Q232)),"检查输入",ROUND(Q232*T232-U232,4))))</f>
        <v/>
      </c>
    </row>
    <row r="233" spans="18:23" ht="34" customHeight="1">
      <c r="R233" s="10">
        <f>IF(A233="","",IF(COUNT(G233,L233)&lt;2,"待补充",IF(OR(G233&lt;0,L233&lt;0,L233&gt;1),"检查输入",G233*L233)))</f>
        <v/>
      </c>
      <c r="S233" s="10">
        <f>IF(A233="","",IF(COUNT(M233:N233)&lt;2,"待补充",IF(OR(M233&lt;0,M233&gt;1,N233&lt;0),"检查输入",M233*N233)))</f>
        <v/>
      </c>
      <c r="T233" s="10">
        <f>IF(A233="","",IF(COUNT(F233:N233)&lt;9,"待补充",IF(OR(MIN(F233:N233)&lt;0,L233&gt;1,M233&gt;1),"检查输入",ROUND(F233-SUM(H233:K233)-R233-S233,4))))</f>
        <v/>
      </c>
      <c r="U233" s="10">
        <f>IF(A233="","",IF(COUNT(O233:P233)&lt;2,"待补充",IF(MIN(O233:P233)&lt;0,"检查输入",SUM(O233:P233))))</f>
        <v/>
      </c>
      <c r="V233" s="9">
        <f>IF(A233="","",IF(OR(T233="检查输入",U233="检查输入"),"检查输入",IF(OR(NOT(ISNUMBER(T233)),NOT(ISNUMBER(U233))),"待补充",IF(T233&lt;=0,"不可保本",IFERROR(ROUNDUP(U233/T233,0),"检查输入")))))</f>
        <v/>
      </c>
      <c r="W233" s="10">
        <f>IF(A233="","",IF(OR(NOT(ISNUMBER(T233)),NOT(ISNUMBER(U233)),NOT(ISNUMBER(Q233))),"待补充",IF(OR(Q233&lt;0,Q233&lt;&gt;INT(Q233)),"检查输入",ROUND(Q233*T233-U233,4))))</f>
        <v/>
      </c>
    </row>
    <row r="234" spans="18:23" ht="34" customHeight="1">
      <c r="R234" s="10">
        <f>IF(A234="","",IF(COUNT(G234,L234)&lt;2,"待补充",IF(OR(G234&lt;0,L234&lt;0,L234&gt;1),"检查输入",G234*L234)))</f>
        <v/>
      </c>
      <c r="S234" s="10">
        <f>IF(A234="","",IF(COUNT(M234:N234)&lt;2,"待补充",IF(OR(M234&lt;0,M234&gt;1,N234&lt;0),"检查输入",M234*N234)))</f>
        <v/>
      </c>
      <c r="T234" s="10">
        <f>IF(A234="","",IF(COUNT(F234:N234)&lt;9,"待补充",IF(OR(MIN(F234:N234)&lt;0,L234&gt;1,M234&gt;1),"检查输入",ROUND(F234-SUM(H234:K234)-R234-S234,4))))</f>
        <v/>
      </c>
      <c r="U234" s="10">
        <f>IF(A234="","",IF(COUNT(O234:P234)&lt;2,"待补充",IF(MIN(O234:P234)&lt;0,"检查输入",SUM(O234:P234))))</f>
        <v/>
      </c>
      <c r="V234" s="9">
        <f>IF(A234="","",IF(OR(T234="检查输入",U234="检查输入"),"检查输入",IF(OR(NOT(ISNUMBER(T234)),NOT(ISNUMBER(U234))),"待补充",IF(T234&lt;=0,"不可保本",IFERROR(ROUNDUP(U234/T234,0),"检查输入")))))</f>
        <v/>
      </c>
      <c r="W234" s="10">
        <f>IF(A234="","",IF(OR(NOT(ISNUMBER(T234)),NOT(ISNUMBER(U234)),NOT(ISNUMBER(Q234))),"待补充",IF(OR(Q234&lt;0,Q234&lt;&gt;INT(Q234)),"检查输入",ROUND(Q234*T234-U234,4))))</f>
        <v/>
      </c>
    </row>
    <row r="235" spans="18:23" ht="34" customHeight="1">
      <c r="R235" s="10">
        <f>IF(A235="","",IF(COUNT(G235,L235)&lt;2,"待补充",IF(OR(G235&lt;0,L235&lt;0,L235&gt;1),"检查输入",G235*L235)))</f>
        <v/>
      </c>
      <c r="S235" s="10">
        <f>IF(A235="","",IF(COUNT(M235:N235)&lt;2,"待补充",IF(OR(M235&lt;0,M235&gt;1,N235&lt;0),"检查输入",M235*N235)))</f>
        <v/>
      </c>
      <c r="T235" s="10">
        <f>IF(A235="","",IF(COUNT(F235:N235)&lt;9,"待补充",IF(OR(MIN(F235:N235)&lt;0,L235&gt;1,M235&gt;1),"检查输入",ROUND(F235-SUM(H235:K235)-R235-S235,4))))</f>
        <v/>
      </c>
      <c r="U235" s="10">
        <f>IF(A235="","",IF(COUNT(O235:P235)&lt;2,"待补充",IF(MIN(O235:P235)&lt;0,"检查输入",SUM(O235:P235))))</f>
        <v/>
      </c>
      <c r="V235" s="9">
        <f>IF(A235="","",IF(OR(T235="检查输入",U235="检查输入"),"检查输入",IF(OR(NOT(ISNUMBER(T235)),NOT(ISNUMBER(U235))),"待补充",IF(T235&lt;=0,"不可保本",IFERROR(ROUNDUP(U235/T235,0),"检查输入")))))</f>
        <v/>
      </c>
      <c r="W235" s="10">
        <f>IF(A235="","",IF(OR(NOT(ISNUMBER(T235)),NOT(ISNUMBER(U235)),NOT(ISNUMBER(Q235))),"待补充",IF(OR(Q235&lt;0,Q235&lt;&gt;INT(Q235)),"检查输入",ROUND(Q235*T235-U235,4))))</f>
        <v/>
      </c>
    </row>
    <row r="236" spans="18:23" ht="34" customHeight="1">
      <c r="R236" s="10">
        <f>IF(A236="","",IF(COUNT(G236,L236)&lt;2,"待补充",IF(OR(G236&lt;0,L236&lt;0,L236&gt;1),"检查输入",G236*L236)))</f>
        <v/>
      </c>
      <c r="S236" s="10">
        <f>IF(A236="","",IF(COUNT(M236:N236)&lt;2,"待补充",IF(OR(M236&lt;0,M236&gt;1,N236&lt;0),"检查输入",M236*N236)))</f>
        <v/>
      </c>
      <c r="T236" s="10">
        <f>IF(A236="","",IF(COUNT(F236:N236)&lt;9,"待补充",IF(OR(MIN(F236:N236)&lt;0,L236&gt;1,M236&gt;1),"检查输入",ROUND(F236-SUM(H236:K236)-R236-S236,4))))</f>
        <v/>
      </c>
      <c r="U236" s="10">
        <f>IF(A236="","",IF(COUNT(O236:P236)&lt;2,"待补充",IF(MIN(O236:P236)&lt;0,"检查输入",SUM(O236:P236))))</f>
        <v/>
      </c>
      <c r="V236" s="9">
        <f>IF(A236="","",IF(OR(T236="检查输入",U236="检查输入"),"检查输入",IF(OR(NOT(ISNUMBER(T236)),NOT(ISNUMBER(U236))),"待补充",IF(T236&lt;=0,"不可保本",IFERROR(ROUNDUP(U236/T236,0),"检查输入")))))</f>
        <v/>
      </c>
      <c r="W236" s="10">
        <f>IF(A236="","",IF(OR(NOT(ISNUMBER(T236)),NOT(ISNUMBER(U236)),NOT(ISNUMBER(Q236))),"待补充",IF(OR(Q236&lt;0,Q236&lt;&gt;INT(Q236)),"检查输入",ROUND(Q236*T236-U236,4))))</f>
        <v/>
      </c>
    </row>
    <row r="237" spans="18:23" ht="34" customHeight="1">
      <c r="R237" s="10">
        <f>IF(A237="","",IF(COUNT(G237,L237)&lt;2,"待补充",IF(OR(G237&lt;0,L237&lt;0,L237&gt;1),"检查输入",G237*L237)))</f>
        <v/>
      </c>
      <c r="S237" s="10">
        <f>IF(A237="","",IF(COUNT(M237:N237)&lt;2,"待补充",IF(OR(M237&lt;0,M237&gt;1,N237&lt;0),"检查输入",M237*N237)))</f>
        <v/>
      </c>
      <c r="T237" s="10">
        <f>IF(A237="","",IF(COUNT(F237:N237)&lt;9,"待补充",IF(OR(MIN(F237:N237)&lt;0,L237&gt;1,M237&gt;1),"检查输入",ROUND(F237-SUM(H237:K237)-R237-S237,4))))</f>
        <v/>
      </c>
      <c r="U237" s="10">
        <f>IF(A237="","",IF(COUNT(O237:P237)&lt;2,"待补充",IF(MIN(O237:P237)&lt;0,"检查输入",SUM(O237:P237))))</f>
        <v/>
      </c>
      <c r="V237" s="9">
        <f>IF(A237="","",IF(OR(T237="检查输入",U237="检查输入"),"检查输入",IF(OR(NOT(ISNUMBER(T237)),NOT(ISNUMBER(U237))),"待补充",IF(T237&lt;=0,"不可保本",IFERROR(ROUNDUP(U237/T237,0),"检查输入")))))</f>
        <v/>
      </c>
      <c r="W237" s="10">
        <f>IF(A237="","",IF(OR(NOT(ISNUMBER(T237)),NOT(ISNUMBER(U237)),NOT(ISNUMBER(Q237))),"待补充",IF(OR(Q237&lt;0,Q237&lt;&gt;INT(Q237)),"检查输入",ROUND(Q237*T237-U237,4))))</f>
        <v/>
      </c>
    </row>
    <row r="238" spans="18:23" ht="34" customHeight="1">
      <c r="R238" s="10">
        <f>IF(A238="","",IF(COUNT(G238,L238)&lt;2,"待补充",IF(OR(G238&lt;0,L238&lt;0,L238&gt;1),"检查输入",G238*L238)))</f>
        <v/>
      </c>
      <c r="S238" s="10">
        <f>IF(A238="","",IF(COUNT(M238:N238)&lt;2,"待补充",IF(OR(M238&lt;0,M238&gt;1,N238&lt;0),"检查输入",M238*N238)))</f>
        <v/>
      </c>
      <c r="T238" s="10">
        <f>IF(A238="","",IF(COUNT(F238:N238)&lt;9,"待补充",IF(OR(MIN(F238:N238)&lt;0,L238&gt;1,M238&gt;1),"检查输入",ROUND(F238-SUM(H238:K238)-R238-S238,4))))</f>
        <v/>
      </c>
      <c r="U238" s="10">
        <f>IF(A238="","",IF(COUNT(O238:P238)&lt;2,"待补充",IF(MIN(O238:P238)&lt;0,"检查输入",SUM(O238:P238))))</f>
        <v/>
      </c>
      <c r="V238" s="9">
        <f>IF(A238="","",IF(OR(T238="检查输入",U238="检查输入"),"检查输入",IF(OR(NOT(ISNUMBER(T238)),NOT(ISNUMBER(U238))),"待补充",IF(T238&lt;=0,"不可保本",IFERROR(ROUNDUP(U238/T238,0),"检查输入")))))</f>
        <v/>
      </c>
      <c r="W238" s="10">
        <f>IF(A238="","",IF(OR(NOT(ISNUMBER(T238)),NOT(ISNUMBER(U238)),NOT(ISNUMBER(Q238))),"待补充",IF(OR(Q238&lt;0,Q238&lt;&gt;INT(Q238)),"检查输入",ROUND(Q238*T238-U238,4))))</f>
        <v/>
      </c>
    </row>
    <row r="239" spans="18:23" ht="34" customHeight="1">
      <c r="R239" s="10">
        <f>IF(A239="","",IF(COUNT(G239,L239)&lt;2,"待补充",IF(OR(G239&lt;0,L239&lt;0,L239&gt;1),"检查输入",G239*L239)))</f>
        <v/>
      </c>
      <c r="S239" s="10">
        <f>IF(A239="","",IF(COUNT(M239:N239)&lt;2,"待补充",IF(OR(M239&lt;0,M239&gt;1,N239&lt;0),"检查输入",M239*N239)))</f>
        <v/>
      </c>
      <c r="T239" s="10">
        <f>IF(A239="","",IF(COUNT(F239:N239)&lt;9,"待补充",IF(OR(MIN(F239:N239)&lt;0,L239&gt;1,M239&gt;1),"检查输入",ROUND(F239-SUM(H239:K239)-R239-S239,4))))</f>
        <v/>
      </c>
      <c r="U239" s="10">
        <f>IF(A239="","",IF(COUNT(O239:P239)&lt;2,"待补充",IF(MIN(O239:P239)&lt;0,"检查输入",SUM(O239:P239))))</f>
        <v/>
      </c>
      <c r="V239" s="9">
        <f>IF(A239="","",IF(OR(T239="检查输入",U239="检查输入"),"检查输入",IF(OR(NOT(ISNUMBER(T239)),NOT(ISNUMBER(U239))),"待补充",IF(T239&lt;=0,"不可保本",IFERROR(ROUNDUP(U239/T239,0),"检查输入")))))</f>
        <v/>
      </c>
      <c r="W239" s="10">
        <f>IF(A239="","",IF(OR(NOT(ISNUMBER(T239)),NOT(ISNUMBER(U239)),NOT(ISNUMBER(Q239))),"待补充",IF(OR(Q239&lt;0,Q239&lt;&gt;INT(Q239)),"检查输入",ROUND(Q239*T239-U239,4))))</f>
        <v/>
      </c>
    </row>
    <row r="240" spans="18:23" ht="34" customHeight="1">
      <c r="R240" s="10">
        <f>IF(A240="","",IF(COUNT(G240,L240)&lt;2,"待补充",IF(OR(G240&lt;0,L240&lt;0,L240&gt;1),"检查输入",G240*L240)))</f>
        <v/>
      </c>
      <c r="S240" s="10">
        <f>IF(A240="","",IF(COUNT(M240:N240)&lt;2,"待补充",IF(OR(M240&lt;0,M240&gt;1,N240&lt;0),"检查输入",M240*N240)))</f>
        <v/>
      </c>
      <c r="T240" s="10">
        <f>IF(A240="","",IF(COUNT(F240:N240)&lt;9,"待补充",IF(OR(MIN(F240:N240)&lt;0,L240&gt;1,M240&gt;1),"检查输入",ROUND(F240-SUM(H240:K240)-R240-S240,4))))</f>
        <v/>
      </c>
      <c r="U240" s="10">
        <f>IF(A240="","",IF(COUNT(O240:P240)&lt;2,"待补充",IF(MIN(O240:P240)&lt;0,"检查输入",SUM(O240:P240))))</f>
        <v/>
      </c>
      <c r="V240" s="9">
        <f>IF(A240="","",IF(OR(T240="检查输入",U240="检查输入"),"检查输入",IF(OR(NOT(ISNUMBER(T240)),NOT(ISNUMBER(U240))),"待补充",IF(T240&lt;=0,"不可保本",IFERROR(ROUNDUP(U240/T240,0),"检查输入")))))</f>
        <v/>
      </c>
      <c r="W240" s="10">
        <f>IF(A240="","",IF(OR(NOT(ISNUMBER(T240)),NOT(ISNUMBER(U240)),NOT(ISNUMBER(Q240))),"待补充",IF(OR(Q240&lt;0,Q240&lt;&gt;INT(Q240)),"检查输入",ROUND(Q240*T240-U240,4))))</f>
        <v/>
      </c>
    </row>
    <row r="241" spans="18:23" ht="34" customHeight="1">
      <c r="R241" s="10">
        <f>IF(A241="","",IF(COUNT(G241,L241)&lt;2,"待补充",IF(OR(G241&lt;0,L241&lt;0,L241&gt;1),"检查输入",G241*L241)))</f>
        <v/>
      </c>
      <c r="S241" s="10">
        <f>IF(A241="","",IF(COUNT(M241:N241)&lt;2,"待补充",IF(OR(M241&lt;0,M241&gt;1,N241&lt;0),"检查输入",M241*N241)))</f>
        <v/>
      </c>
      <c r="T241" s="10">
        <f>IF(A241="","",IF(COUNT(F241:N241)&lt;9,"待补充",IF(OR(MIN(F241:N241)&lt;0,L241&gt;1,M241&gt;1),"检查输入",ROUND(F241-SUM(H241:K241)-R241-S241,4))))</f>
        <v/>
      </c>
      <c r="U241" s="10">
        <f>IF(A241="","",IF(COUNT(O241:P241)&lt;2,"待补充",IF(MIN(O241:P241)&lt;0,"检查输入",SUM(O241:P241))))</f>
        <v/>
      </c>
      <c r="V241" s="9">
        <f>IF(A241="","",IF(OR(T241="检查输入",U241="检查输入"),"检查输入",IF(OR(NOT(ISNUMBER(T241)),NOT(ISNUMBER(U241))),"待补充",IF(T241&lt;=0,"不可保本",IFERROR(ROUNDUP(U241/T241,0),"检查输入")))))</f>
        <v/>
      </c>
      <c r="W241" s="10">
        <f>IF(A241="","",IF(OR(NOT(ISNUMBER(T241)),NOT(ISNUMBER(U241)),NOT(ISNUMBER(Q241))),"待补充",IF(OR(Q241&lt;0,Q241&lt;&gt;INT(Q241)),"检查输入",ROUND(Q241*T241-U241,4))))</f>
        <v/>
      </c>
    </row>
    <row r="242" spans="18:23" ht="34" customHeight="1">
      <c r="R242" s="10">
        <f>IF(A242="","",IF(COUNT(G242,L242)&lt;2,"待补充",IF(OR(G242&lt;0,L242&lt;0,L242&gt;1),"检查输入",G242*L242)))</f>
        <v/>
      </c>
      <c r="S242" s="10">
        <f>IF(A242="","",IF(COUNT(M242:N242)&lt;2,"待补充",IF(OR(M242&lt;0,M242&gt;1,N242&lt;0),"检查输入",M242*N242)))</f>
        <v/>
      </c>
      <c r="T242" s="10">
        <f>IF(A242="","",IF(COUNT(F242:N242)&lt;9,"待补充",IF(OR(MIN(F242:N242)&lt;0,L242&gt;1,M242&gt;1),"检查输入",ROUND(F242-SUM(H242:K242)-R242-S242,4))))</f>
        <v/>
      </c>
      <c r="U242" s="10">
        <f>IF(A242="","",IF(COUNT(O242:P242)&lt;2,"待补充",IF(MIN(O242:P242)&lt;0,"检查输入",SUM(O242:P242))))</f>
        <v/>
      </c>
      <c r="V242" s="9">
        <f>IF(A242="","",IF(OR(T242="检查输入",U242="检查输入"),"检查输入",IF(OR(NOT(ISNUMBER(T242)),NOT(ISNUMBER(U242))),"待补充",IF(T242&lt;=0,"不可保本",IFERROR(ROUNDUP(U242/T242,0),"检查输入")))))</f>
        <v/>
      </c>
      <c r="W242" s="10">
        <f>IF(A242="","",IF(OR(NOT(ISNUMBER(T242)),NOT(ISNUMBER(U242)),NOT(ISNUMBER(Q242))),"待补充",IF(OR(Q242&lt;0,Q242&lt;&gt;INT(Q242)),"检查输入",ROUND(Q242*T242-U242,4))))</f>
        <v/>
      </c>
    </row>
    <row r="243" spans="18:23" ht="34" customHeight="1">
      <c r="R243" s="10">
        <f>IF(A243="","",IF(COUNT(G243,L243)&lt;2,"待补充",IF(OR(G243&lt;0,L243&lt;0,L243&gt;1),"检查输入",G243*L243)))</f>
        <v/>
      </c>
      <c r="S243" s="10">
        <f>IF(A243="","",IF(COUNT(M243:N243)&lt;2,"待补充",IF(OR(M243&lt;0,M243&gt;1,N243&lt;0),"检查输入",M243*N243)))</f>
        <v/>
      </c>
      <c r="T243" s="10">
        <f>IF(A243="","",IF(COUNT(F243:N243)&lt;9,"待补充",IF(OR(MIN(F243:N243)&lt;0,L243&gt;1,M243&gt;1),"检查输入",ROUND(F243-SUM(H243:K243)-R243-S243,4))))</f>
        <v/>
      </c>
      <c r="U243" s="10">
        <f>IF(A243="","",IF(COUNT(O243:P243)&lt;2,"待补充",IF(MIN(O243:P243)&lt;0,"检查输入",SUM(O243:P243))))</f>
        <v/>
      </c>
      <c r="V243" s="9">
        <f>IF(A243="","",IF(OR(T243="检查输入",U243="检查输入"),"检查输入",IF(OR(NOT(ISNUMBER(T243)),NOT(ISNUMBER(U243))),"待补充",IF(T243&lt;=0,"不可保本",IFERROR(ROUNDUP(U243/T243,0),"检查输入")))))</f>
        <v/>
      </c>
      <c r="W243" s="10">
        <f>IF(A243="","",IF(OR(NOT(ISNUMBER(T243)),NOT(ISNUMBER(U243)),NOT(ISNUMBER(Q243))),"待补充",IF(OR(Q243&lt;0,Q243&lt;&gt;INT(Q243)),"检查输入",ROUND(Q243*T243-U243,4))))</f>
        <v/>
      </c>
    </row>
    <row r="244" spans="18:23" ht="34" customHeight="1">
      <c r="R244" s="10">
        <f>IF(A244="","",IF(COUNT(G244,L244)&lt;2,"待补充",IF(OR(G244&lt;0,L244&lt;0,L244&gt;1),"检查输入",G244*L244)))</f>
        <v/>
      </c>
      <c r="S244" s="10">
        <f>IF(A244="","",IF(COUNT(M244:N244)&lt;2,"待补充",IF(OR(M244&lt;0,M244&gt;1,N244&lt;0),"检查输入",M244*N244)))</f>
        <v/>
      </c>
      <c r="T244" s="10">
        <f>IF(A244="","",IF(COUNT(F244:N244)&lt;9,"待补充",IF(OR(MIN(F244:N244)&lt;0,L244&gt;1,M244&gt;1),"检查输入",ROUND(F244-SUM(H244:K244)-R244-S244,4))))</f>
        <v/>
      </c>
      <c r="U244" s="10">
        <f>IF(A244="","",IF(COUNT(O244:P244)&lt;2,"待补充",IF(MIN(O244:P244)&lt;0,"检查输入",SUM(O244:P244))))</f>
        <v/>
      </c>
      <c r="V244" s="9">
        <f>IF(A244="","",IF(OR(T244="检查输入",U244="检查输入"),"检查输入",IF(OR(NOT(ISNUMBER(T244)),NOT(ISNUMBER(U244))),"待补充",IF(T244&lt;=0,"不可保本",IFERROR(ROUNDUP(U244/T244,0),"检查输入")))))</f>
        <v/>
      </c>
      <c r="W244" s="10">
        <f>IF(A244="","",IF(OR(NOT(ISNUMBER(T244)),NOT(ISNUMBER(U244)),NOT(ISNUMBER(Q244))),"待补充",IF(OR(Q244&lt;0,Q244&lt;&gt;INT(Q244)),"检查输入",ROUND(Q244*T244-U244,4))))</f>
        <v/>
      </c>
    </row>
    <row r="245" spans="18:23" ht="34" customHeight="1">
      <c r="R245" s="10">
        <f>IF(A245="","",IF(COUNT(G245,L245)&lt;2,"待补充",IF(OR(G245&lt;0,L245&lt;0,L245&gt;1),"检查输入",G245*L245)))</f>
        <v/>
      </c>
      <c r="S245" s="10">
        <f>IF(A245="","",IF(COUNT(M245:N245)&lt;2,"待补充",IF(OR(M245&lt;0,M245&gt;1,N245&lt;0),"检查输入",M245*N245)))</f>
        <v/>
      </c>
      <c r="T245" s="10">
        <f>IF(A245="","",IF(COUNT(F245:N245)&lt;9,"待补充",IF(OR(MIN(F245:N245)&lt;0,L245&gt;1,M245&gt;1),"检查输入",ROUND(F245-SUM(H245:K245)-R245-S245,4))))</f>
        <v/>
      </c>
      <c r="U245" s="10">
        <f>IF(A245="","",IF(COUNT(O245:P245)&lt;2,"待补充",IF(MIN(O245:P245)&lt;0,"检查输入",SUM(O245:P245))))</f>
        <v/>
      </c>
      <c r="V245" s="9">
        <f>IF(A245="","",IF(OR(T245="检查输入",U245="检查输入"),"检查输入",IF(OR(NOT(ISNUMBER(T245)),NOT(ISNUMBER(U245))),"待补充",IF(T245&lt;=0,"不可保本",IFERROR(ROUNDUP(U245/T245,0),"检查输入")))))</f>
        <v/>
      </c>
      <c r="W245" s="10">
        <f>IF(A245="","",IF(OR(NOT(ISNUMBER(T245)),NOT(ISNUMBER(U245)),NOT(ISNUMBER(Q245))),"待补充",IF(OR(Q245&lt;0,Q245&lt;&gt;INT(Q245)),"检查输入",ROUND(Q245*T245-U245,4))))</f>
        <v/>
      </c>
    </row>
    <row r="246" spans="18:23" ht="34" customHeight="1">
      <c r="R246" s="10">
        <f>IF(A246="","",IF(COUNT(G246,L246)&lt;2,"待补充",IF(OR(G246&lt;0,L246&lt;0,L246&gt;1),"检查输入",G246*L246)))</f>
        <v/>
      </c>
      <c r="S246" s="10">
        <f>IF(A246="","",IF(COUNT(M246:N246)&lt;2,"待补充",IF(OR(M246&lt;0,M246&gt;1,N246&lt;0),"检查输入",M246*N246)))</f>
        <v/>
      </c>
      <c r="T246" s="10">
        <f>IF(A246="","",IF(COUNT(F246:N246)&lt;9,"待补充",IF(OR(MIN(F246:N246)&lt;0,L246&gt;1,M246&gt;1),"检查输入",ROUND(F246-SUM(H246:K246)-R246-S246,4))))</f>
        <v/>
      </c>
      <c r="U246" s="10">
        <f>IF(A246="","",IF(COUNT(O246:P246)&lt;2,"待补充",IF(MIN(O246:P246)&lt;0,"检查输入",SUM(O246:P246))))</f>
        <v/>
      </c>
      <c r="V246" s="9">
        <f>IF(A246="","",IF(OR(T246="检查输入",U246="检查输入"),"检查输入",IF(OR(NOT(ISNUMBER(T246)),NOT(ISNUMBER(U246))),"待补充",IF(T246&lt;=0,"不可保本",IFERROR(ROUNDUP(U246/T246,0),"检查输入")))))</f>
        <v/>
      </c>
      <c r="W246" s="10">
        <f>IF(A246="","",IF(OR(NOT(ISNUMBER(T246)),NOT(ISNUMBER(U246)),NOT(ISNUMBER(Q246))),"待补充",IF(OR(Q246&lt;0,Q246&lt;&gt;INT(Q246)),"检查输入",ROUND(Q246*T246-U246,4))))</f>
        <v/>
      </c>
    </row>
    <row r="247" spans="18:23" ht="34" customHeight="1">
      <c r="R247" s="10">
        <f>IF(A247="","",IF(COUNT(G247,L247)&lt;2,"待补充",IF(OR(G247&lt;0,L247&lt;0,L247&gt;1),"检查输入",G247*L247)))</f>
        <v/>
      </c>
      <c r="S247" s="10">
        <f>IF(A247="","",IF(COUNT(M247:N247)&lt;2,"待补充",IF(OR(M247&lt;0,M247&gt;1,N247&lt;0),"检查输入",M247*N247)))</f>
        <v/>
      </c>
      <c r="T247" s="10">
        <f>IF(A247="","",IF(COUNT(F247:N247)&lt;9,"待补充",IF(OR(MIN(F247:N247)&lt;0,L247&gt;1,M247&gt;1),"检查输入",ROUND(F247-SUM(H247:K247)-R247-S247,4))))</f>
        <v/>
      </c>
      <c r="U247" s="10">
        <f>IF(A247="","",IF(COUNT(O247:P247)&lt;2,"待补充",IF(MIN(O247:P247)&lt;0,"检查输入",SUM(O247:P247))))</f>
        <v/>
      </c>
      <c r="V247" s="9">
        <f>IF(A247="","",IF(OR(T247="检查输入",U247="检查输入"),"检查输入",IF(OR(NOT(ISNUMBER(T247)),NOT(ISNUMBER(U247))),"待补充",IF(T247&lt;=0,"不可保本",IFERROR(ROUNDUP(U247/T247,0),"检查输入")))))</f>
        <v/>
      </c>
      <c r="W247" s="10">
        <f>IF(A247="","",IF(OR(NOT(ISNUMBER(T247)),NOT(ISNUMBER(U247)),NOT(ISNUMBER(Q247))),"待补充",IF(OR(Q247&lt;0,Q247&lt;&gt;INT(Q247)),"检查输入",ROUND(Q247*T247-U247,4))))</f>
        <v/>
      </c>
    </row>
    <row r="248" spans="18:23" ht="34" customHeight="1">
      <c r="R248" s="10">
        <f>IF(A248="","",IF(COUNT(G248,L248)&lt;2,"待补充",IF(OR(G248&lt;0,L248&lt;0,L248&gt;1),"检查输入",G248*L248)))</f>
        <v/>
      </c>
      <c r="S248" s="10">
        <f>IF(A248="","",IF(COUNT(M248:N248)&lt;2,"待补充",IF(OR(M248&lt;0,M248&gt;1,N248&lt;0),"检查输入",M248*N248)))</f>
        <v/>
      </c>
      <c r="T248" s="10">
        <f>IF(A248="","",IF(COUNT(F248:N248)&lt;9,"待补充",IF(OR(MIN(F248:N248)&lt;0,L248&gt;1,M248&gt;1),"检查输入",ROUND(F248-SUM(H248:K248)-R248-S248,4))))</f>
        <v/>
      </c>
      <c r="U248" s="10">
        <f>IF(A248="","",IF(COUNT(O248:P248)&lt;2,"待补充",IF(MIN(O248:P248)&lt;0,"检查输入",SUM(O248:P248))))</f>
        <v/>
      </c>
      <c r="V248" s="9">
        <f>IF(A248="","",IF(OR(T248="检查输入",U248="检查输入"),"检查输入",IF(OR(NOT(ISNUMBER(T248)),NOT(ISNUMBER(U248))),"待补充",IF(T248&lt;=0,"不可保本",IFERROR(ROUNDUP(U248/T248,0),"检查输入")))))</f>
        <v/>
      </c>
      <c r="W248" s="10">
        <f>IF(A248="","",IF(OR(NOT(ISNUMBER(T248)),NOT(ISNUMBER(U248)),NOT(ISNUMBER(Q248))),"待补充",IF(OR(Q248&lt;0,Q248&lt;&gt;INT(Q248)),"检查输入",ROUND(Q248*T248-U248,4))))</f>
        <v/>
      </c>
    </row>
    <row r="249" spans="18:23" ht="34" customHeight="1">
      <c r="R249" s="10">
        <f>IF(A249="","",IF(COUNT(G249,L249)&lt;2,"待补充",IF(OR(G249&lt;0,L249&lt;0,L249&gt;1),"检查输入",G249*L249)))</f>
        <v/>
      </c>
      <c r="S249" s="10">
        <f>IF(A249="","",IF(COUNT(M249:N249)&lt;2,"待补充",IF(OR(M249&lt;0,M249&gt;1,N249&lt;0),"检查输入",M249*N249)))</f>
        <v/>
      </c>
      <c r="T249" s="10">
        <f>IF(A249="","",IF(COUNT(F249:N249)&lt;9,"待补充",IF(OR(MIN(F249:N249)&lt;0,L249&gt;1,M249&gt;1),"检查输入",ROUND(F249-SUM(H249:K249)-R249-S249,4))))</f>
        <v/>
      </c>
      <c r="U249" s="10">
        <f>IF(A249="","",IF(COUNT(O249:P249)&lt;2,"待补充",IF(MIN(O249:P249)&lt;0,"检查输入",SUM(O249:P249))))</f>
        <v/>
      </c>
      <c r="V249" s="9">
        <f>IF(A249="","",IF(OR(T249="检查输入",U249="检查输入"),"检查输入",IF(OR(NOT(ISNUMBER(T249)),NOT(ISNUMBER(U249))),"待补充",IF(T249&lt;=0,"不可保本",IFERROR(ROUNDUP(U249/T249,0),"检查输入")))))</f>
        <v/>
      </c>
      <c r="W249" s="10">
        <f>IF(A249="","",IF(OR(NOT(ISNUMBER(T249)),NOT(ISNUMBER(U249)),NOT(ISNUMBER(Q249))),"待补充",IF(OR(Q249&lt;0,Q249&lt;&gt;INT(Q249)),"检查输入",ROUND(Q249*T249-U249,4))))</f>
        <v/>
      </c>
    </row>
    <row r="250" spans="18:23" ht="34" customHeight="1">
      <c r="R250" s="10">
        <f>IF(A250="","",IF(COUNT(G250,L250)&lt;2,"待补充",IF(OR(G250&lt;0,L250&lt;0,L250&gt;1),"检查输入",G250*L250)))</f>
        <v/>
      </c>
      <c r="S250" s="10">
        <f>IF(A250="","",IF(COUNT(M250:N250)&lt;2,"待补充",IF(OR(M250&lt;0,M250&gt;1,N250&lt;0),"检查输入",M250*N250)))</f>
        <v/>
      </c>
      <c r="T250" s="10">
        <f>IF(A250="","",IF(COUNT(F250:N250)&lt;9,"待补充",IF(OR(MIN(F250:N250)&lt;0,L250&gt;1,M250&gt;1),"检查输入",ROUND(F250-SUM(H250:K250)-R250-S250,4))))</f>
        <v/>
      </c>
      <c r="U250" s="10">
        <f>IF(A250="","",IF(COUNT(O250:P250)&lt;2,"待补充",IF(MIN(O250:P250)&lt;0,"检查输入",SUM(O250:P250))))</f>
        <v/>
      </c>
      <c r="V250" s="9">
        <f>IF(A250="","",IF(OR(T250="检查输入",U250="检查输入"),"检查输入",IF(OR(NOT(ISNUMBER(T250)),NOT(ISNUMBER(U250))),"待补充",IF(T250&lt;=0,"不可保本",IFERROR(ROUNDUP(U250/T250,0),"检查输入")))))</f>
        <v/>
      </c>
      <c r="W250" s="10">
        <f>IF(A250="","",IF(OR(NOT(ISNUMBER(T250)),NOT(ISNUMBER(U250)),NOT(ISNUMBER(Q250))),"待补充",IF(OR(Q250&lt;0,Q250&lt;&gt;INT(Q250)),"检查输入",ROUND(Q250*T250-U250,4))))</f>
        <v/>
      </c>
    </row>
    <row r="251" spans="18:23" ht="34" customHeight="1">
      <c r="R251" s="10">
        <f>IF(A251="","",IF(COUNT(G251,L251)&lt;2,"待补充",IF(OR(G251&lt;0,L251&lt;0,L251&gt;1),"检查输入",G251*L251)))</f>
        <v/>
      </c>
      <c r="S251" s="10">
        <f>IF(A251="","",IF(COUNT(M251:N251)&lt;2,"待补充",IF(OR(M251&lt;0,M251&gt;1,N251&lt;0),"检查输入",M251*N251)))</f>
        <v/>
      </c>
      <c r="T251" s="10">
        <f>IF(A251="","",IF(COUNT(F251:N251)&lt;9,"待补充",IF(OR(MIN(F251:N251)&lt;0,L251&gt;1,M251&gt;1),"检查输入",ROUND(F251-SUM(H251:K251)-R251-S251,4))))</f>
        <v/>
      </c>
      <c r="U251" s="10">
        <f>IF(A251="","",IF(COUNT(O251:P251)&lt;2,"待补充",IF(MIN(O251:P251)&lt;0,"检查输入",SUM(O251:P251))))</f>
        <v/>
      </c>
      <c r="V251" s="9">
        <f>IF(A251="","",IF(OR(T251="检查输入",U251="检查输入"),"检查输入",IF(OR(NOT(ISNUMBER(T251)),NOT(ISNUMBER(U251))),"待补充",IF(T251&lt;=0,"不可保本",IFERROR(ROUNDUP(U251/T251,0),"检查输入")))))</f>
        <v/>
      </c>
      <c r="W251" s="10">
        <f>IF(A251="","",IF(OR(NOT(ISNUMBER(T251)),NOT(ISNUMBER(U251)),NOT(ISNUMBER(Q251))),"待补充",IF(OR(Q251&lt;0,Q251&lt;&gt;INT(Q251)),"检查输入",ROUND(Q251*T251-U251,4))))</f>
        <v/>
      </c>
    </row>
    <row r="252" spans="18:23" ht="34" customHeight="1">
      <c r="R252" s="10">
        <f>IF(A252="","",IF(COUNT(G252,L252)&lt;2,"待补充",IF(OR(G252&lt;0,L252&lt;0,L252&gt;1),"检查输入",G252*L252)))</f>
        <v/>
      </c>
      <c r="S252" s="10">
        <f>IF(A252="","",IF(COUNT(M252:N252)&lt;2,"待补充",IF(OR(M252&lt;0,M252&gt;1,N252&lt;0),"检查输入",M252*N252)))</f>
        <v/>
      </c>
      <c r="T252" s="10">
        <f>IF(A252="","",IF(COUNT(F252:N252)&lt;9,"待补充",IF(OR(MIN(F252:N252)&lt;0,L252&gt;1,M252&gt;1),"检查输入",ROUND(F252-SUM(H252:K252)-R252-S252,4))))</f>
        <v/>
      </c>
      <c r="U252" s="10">
        <f>IF(A252="","",IF(COUNT(O252:P252)&lt;2,"待补充",IF(MIN(O252:P252)&lt;0,"检查输入",SUM(O252:P252))))</f>
        <v/>
      </c>
      <c r="V252" s="9">
        <f>IF(A252="","",IF(OR(T252="检查输入",U252="检查输入"),"检查输入",IF(OR(NOT(ISNUMBER(T252)),NOT(ISNUMBER(U252))),"待补充",IF(T252&lt;=0,"不可保本",IFERROR(ROUNDUP(U252/T252,0),"检查输入")))))</f>
        <v/>
      </c>
      <c r="W252" s="10">
        <f>IF(A252="","",IF(OR(NOT(ISNUMBER(T252)),NOT(ISNUMBER(U252)),NOT(ISNUMBER(Q252))),"待补充",IF(OR(Q252&lt;0,Q252&lt;&gt;INT(Q252)),"检查输入",ROUND(Q252*T252-U252,4))))</f>
        <v/>
      </c>
    </row>
    <row r="253" spans="18:23" ht="34" customHeight="1">
      <c r="R253" s="10">
        <f>IF(A253="","",IF(COUNT(G253,L253)&lt;2,"待补充",IF(OR(G253&lt;0,L253&lt;0,L253&gt;1),"检查输入",G253*L253)))</f>
        <v/>
      </c>
      <c r="S253" s="10">
        <f>IF(A253="","",IF(COUNT(M253:N253)&lt;2,"待补充",IF(OR(M253&lt;0,M253&gt;1,N253&lt;0),"检查输入",M253*N253)))</f>
        <v/>
      </c>
      <c r="T253" s="10">
        <f>IF(A253="","",IF(COUNT(F253:N253)&lt;9,"待补充",IF(OR(MIN(F253:N253)&lt;0,L253&gt;1,M253&gt;1),"检查输入",ROUND(F253-SUM(H253:K253)-R253-S253,4))))</f>
        <v/>
      </c>
      <c r="U253" s="10">
        <f>IF(A253="","",IF(COUNT(O253:P253)&lt;2,"待补充",IF(MIN(O253:P253)&lt;0,"检查输入",SUM(O253:P253))))</f>
        <v/>
      </c>
      <c r="V253" s="9">
        <f>IF(A253="","",IF(OR(T253="检查输入",U253="检查输入"),"检查输入",IF(OR(NOT(ISNUMBER(T253)),NOT(ISNUMBER(U253))),"待补充",IF(T253&lt;=0,"不可保本",IFERROR(ROUNDUP(U253/T253,0),"检查输入")))))</f>
        <v/>
      </c>
      <c r="W253" s="10">
        <f>IF(A253="","",IF(OR(NOT(ISNUMBER(T253)),NOT(ISNUMBER(U253)),NOT(ISNUMBER(Q253))),"待补充",IF(OR(Q253&lt;0,Q253&lt;&gt;INT(Q253)),"检查输入",ROUND(Q253*T253-U253,4))))</f>
        <v/>
      </c>
    </row>
    <row r="254" spans="18:23" ht="34" customHeight="1">
      <c r="R254" s="10">
        <f>IF(A254="","",IF(COUNT(G254,L254)&lt;2,"待补充",IF(OR(G254&lt;0,L254&lt;0,L254&gt;1),"检查输入",G254*L254)))</f>
        <v/>
      </c>
      <c r="S254" s="10">
        <f>IF(A254="","",IF(COUNT(M254:N254)&lt;2,"待补充",IF(OR(M254&lt;0,M254&gt;1,N254&lt;0),"检查输入",M254*N254)))</f>
        <v/>
      </c>
      <c r="T254" s="10">
        <f>IF(A254="","",IF(COUNT(F254:N254)&lt;9,"待补充",IF(OR(MIN(F254:N254)&lt;0,L254&gt;1,M254&gt;1),"检查输入",ROUND(F254-SUM(H254:K254)-R254-S254,4))))</f>
        <v/>
      </c>
      <c r="U254" s="10">
        <f>IF(A254="","",IF(COUNT(O254:P254)&lt;2,"待补充",IF(MIN(O254:P254)&lt;0,"检查输入",SUM(O254:P254))))</f>
        <v/>
      </c>
      <c r="V254" s="9">
        <f>IF(A254="","",IF(OR(T254="检查输入",U254="检查输入"),"检查输入",IF(OR(NOT(ISNUMBER(T254)),NOT(ISNUMBER(U254))),"待补充",IF(T254&lt;=0,"不可保本",IFERROR(ROUNDUP(U254/T254,0),"检查输入")))))</f>
        <v/>
      </c>
      <c r="W254" s="10">
        <f>IF(A254="","",IF(OR(NOT(ISNUMBER(T254)),NOT(ISNUMBER(U254)),NOT(ISNUMBER(Q254))),"待补充",IF(OR(Q254&lt;0,Q254&lt;&gt;INT(Q254)),"检查输入",ROUND(Q254*T254-U254,4))))</f>
        <v/>
      </c>
    </row>
    <row r="255" spans="18:23" ht="34" customHeight="1">
      <c r="R255" s="10">
        <f>IF(A255="","",IF(COUNT(G255,L255)&lt;2,"待补充",IF(OR(G255&lt;0,L255&lt;0,L255&gt;1),"检查输入",G255*L255)))</f>
        <v/>
      </c>
      <c r="S255" s="10">
        <f>IF(A255="","",IF(COUNT(M255:N255)&lt;2,"待补充",IF(OR(M255&lt;0,M255&gt;1,N255&lt;0),"检查输入",M255*N255)))</f>
        <v/>
      </c>
      <c r="T255" s="10">
        <f>IF(A255="","",IF(COUNT(F255:N255)&lt;9,"待补充",IF(OR(MIN(F255:N255)&lt;0,L255&gt;1,M255&gt;1),"检查输入",ROUND(F255-SUM(H255:K255)-R255-S255,4))))</f>
        <v/>
      </c>
      <c r="U255" s="10">
        <f>IF(A255="","",IF(COUNT(O255:P255)&lt;2,"待补充",IF(MIN(O255:P255)&lt;0,"检查输入",SUM(O255:P255))))</f>
        <v/>
      </c>
      <c r="V255" s="9">
        <f>IF(A255="","",IF(OR(T255="检查输入",U255="检查输入"),"检查输入",IF(OR(NOT(ISNUMBER(T255)),NOT(ISNUMBER(U255))),"待补充",IF(T255&lt;=0,"不可保本",IFERROR(ROUNDUP(U255/T255,0),"检查输入")))))</f>
        <v/>
      </c>
      <c r="W255" s="10">
        <f>IF(A255="","",IF(OR(NOT(ISNUMBER(T255)),NOT(ISNUMBER(U255)),NOT(ISNUMBER(Q255))),"待补充",IF(OR(Q255&lt;0,Q255&lt;&gt;INT(Q255)),"检查输入",ROUND(Q255*T255-U255,4))))</f>
        <v/>
      </c>
    </row>
    <row r="256" spans="18:23" ht="34" customHeight="1">
      <c r="R256" s="10">
        <f>IF(A256="","",IF(COUNT(G256,L256)&lt;2,"待补充",IF(OR(G256&lt;0,L256&lt;0,L256&gt;1),"检查输入",G256*L256)))</f>
        <v/>
      </c>
      <c r="S256" s="10">
        <f>IF(A256="","",IF(COUNT(M256:N256)&lt;2,"待补充",IF(OR(M256&lt;0,M256&gt;1,N256&lt;0),"检查输入",M256*N256)))</f>
        <v/>
      </c>
      <c r="T256" s="10">
        <f>IF(A256="","",IF(COUNT(F256:N256)&lt;9,"待补充",IF(OR(MIN(F256:N256)&lt;0,L256&gt;1,M256&gt;1),"检查输入",ROUND(F256-SUM(H256:K256)-R256-S256,4))))</f>
        <v/>
      </c>
      <c r="U256" s="10">
        <f>IF(A256="","",IF(COUNT(O256:P256)&lt;2,"待补充",IF(MIN(O256:P256)&lt;0,"检查输入",SUM(O256:P256))))</f>
        <v/>
      </c>
      <c r="V256" s="9">
        <f>IF(A256="","",IF(OR(T256="检查输入",U256="检查输入"),"检查输入",IF(OR(NOT(ISNUMBER(T256)),NOT(ISNUMBER(U256))),"待补充",IF(T256&lt;=0,"不可保本",IFERROR(ROUNDUP(U256/T256,0),"检查输入")))))</f>
        <v/>
      </c>
      <c r="W256" s="10">
        <f>IF(A256="","",IF(OR(NOT(ISNUMBER(T256)),NOT(ISNUMBER(U256)),NOT(ISNUMBER(Q256))),"待补充",IF(OR(Q256&lt;0,Q256&lt;&gt;INT(Q256)),"检查输入",ROUND(Q256*T256-U256,4))))</f>
        <v/>
      </c>
    </row>
    <row r="257" spans="18:23" ht="34" customHeight="1">
      <c r="R257" s="10">
        <f>IF(A257="","",IF(COUNT(G257,L257)&lt;2,"待补充",IF(OR(G257&lt;0,L257&lt;0,L257&gt;1),"检查输入",G257*L257)))</f>
        <v/>
      </c>
      <c r="S257" s="10">
        <f>IF(A257="","",IF(COUNT(M257:N257)&lt;2,"待补充",IF(OR(M257&lt;0,M257&gt;1,N257&lt;0),"检查输入",M257*N257)))</f>
        <v/>
      </c>
      <c r="T257" s="10">
        <f>IF(A257="","",IF(COUNT(F257:N257)&lt;9,"待补充",IF(OR(MIN(F257:N257)&lt;0,L257&gt;1,M257&gt;1),"检查输入",ROUND(F257-SUM(H257:K257)-R257-S257,4))))</f>
        <v/>
      </c>
      <c r="U257" s="10">
        <f>IF(A257="","",IF(COUNT(O257:P257)&lt;2,"待补充",IF(MIN(O257:P257)&lt;0,"检查输入",SUM(O257:P257))))</f>
        <v/>
      </c>
      <c r="V257" s="9">
        <f>IF(A257="","",IF(OR(T257="检查输入",U257="检查输入"),"检查输入",IF(OR(NOT(ISNUMBER(T257)),NOT(ISNUMBER(U257))),"待补充",IF(T257&lt;=0,"不可保本",IFERROR(ROUNDUP(U257/T257,0),"检查输入")))))</f>
        <v/>
      </c>
      <c r="W257" s="10">
        <f>IF(A257="","",IF(OR(NOT(ISNUMBER(T257)),NOT(ISNUMBER(U257)),NOT(ISNUMBER(Q257))),"待补充",IF(OR(Q257&lt;0,Q257&lt;&gt;INT(Q257)),"检查输入",ROUND(Q257*T257-U257,4))))</f>
        <v/>
      </c>
    </row>
    <row r="258" spans="18:23" ht="34" customHeight="1">
      <c r="R258" s="10">
        <f>IF(A258="","",IF(COUNT(G258,L258)&lt;2,"待补充",IF(OR(G258&lt;0,L258&lt;0,L258&gt;1),"检查输入",G258*L258)))</f>
        <v/>
      </c>
      <c r="S258" s="10">
        <f>IF(A258="","",IF(COUNT(M258:N258)&lt;2,"待补充",IF(OR(M258&lt;0,M258&gt;1,N258&lt;0),"检查输入",M258*N258)))</f>
        <v/>
      </c>
      <c r="T258" s="10">
        <f>IF(A258="","",IF(COUNT(F258:N258)&lt;9,"待补充",IF(OR(MIN(F258:N258)&lt;0,L258&gt;1,M258&gt;1),"检查输入",ROUND(F258-SUM(H258:K258)-R258-S258,4))))</f>
        <v/>
      </c>
      <c r="U258" s="10">
        <f>IF(A258="","",IF(COUNT(O258:P258)&lt;2,"待补充",IF(MIN(O258:P258)&lt;0,"检查输入",SUM(O258:P258))))</f>
        <v/>
      </c>
      <c r="V258" s="9">
        <f>IF(A258="","",IF(OR(T258="检查输入",U258="检查输入"),"检查输入",IF(OR(NOT(ISNUMBER(T258)),NOT(ISNUMBER(U258))),"待补充",IF(T258&lt;=0,"不可保本",IFERROR(ROUNDUP(U258/T258,0),"检查输入")))))</f>
        <v/>
      </c>
      <c r="W258" s="10">
        <f>IF(A258="","",IF(OR(NOT(ISNUMBER(T258)),NOT(ISNUMBER(U258)),NOT(ISNUMBER(Q258))),"待补充",IF(OR(Q258&lt;0,Q258&lt;&gt;INT(Q258)),"检查输入",ROUND(Q258*T258-U258,4))))</f>
        <v/>
      </c>
    </row>
    <row r="259" spans="18:23" ht="34" customHeight="1">
      <c r="R259" s="10">
        <f>IF(A259="","",IF(COUNT(G259,L259)&lt;2,"待补充",IF(OR(G259&lt;0,L259&lt;0,L259&gt;1),"检查输入",G259*L259)))</f>
        <v/>
      </c>
      <c r="S259" s="10">
        <f>IF(A259="","",IF(COUNT(M259:N259)&lt;2,"待补充",IF(OR(M259&lt;0,M259&gt;1,N259&lt;0),"检查输入",M259*N259)))</f>
        <v/>
      </c>
      <c r="T259" s="10">
        <f>IF(A259="","",IF(COUNT(F259:N259)&lt;9,"待补充",IF(OR(MIN(F259:N259)&lt;0,L259&gt;1,M259&gt;1),"检查输入",ROUND(F259-SUM(H259:K259)-R259-S259,4))))</f>
        <v/>
      </c>
      <c r="U259" s="10">
        <f>IF(A259="","",IF(COUNT(O259:P259)&lt;2,"待补充",IF(MIN(O259:P259)&lt;0,"检查输入",SUM(O259:P259))))</f>
        <v/>
      </c>
      <c r="V259" s="9">
        <f>IF(A259="","",IF(OR(T259="检查输入",U259="检查输入"),"检查输入",IF(OR(NOT(ISNUMBER(T259)),NOT(ISNUMBER(U259))),"待补充",IF(T259&lt;=0,"不可保本",IFERROR(ROUNDUP(U259/T259,0),"检查输入")))))</f>
        <v/>
      </c>
      <c r="W259" s="10">
        <f>IF(A259="","",IF(OR(NOT(ISNUMBER(T259)),NOT(ISNUMBER(U259)),NOT(ISNUMBER(Q259))),"待补充",IF(OR(Q259&lt;0,Q259&lt;&gt;INT(Q259)),"检查输入",ROUND(Q259*T259-U259,4))))</f>
        <v/>
      </c>
    </row>
    <row r="260" spans="18:23" ht="34" customHeight="1">
      <c r="R260" s="10">
        <f>IF(A260="","",IF(COUNT(G260,L260)&lt;2,"待补充",IF(OR(G260&lt;0,L260&lt;0,L260&gt;1),"检查输入",G260*L260)))</f>
        <v/>
      </c>
      <c r="S260" s="10">
        <f>IF(A260="","",IF(COUNT(M260:N260)&lt;2,"待补充",IF(OR(M260&lt;0,M260&gt;1,N260&lt;0),"检查输入",M260*N260)))</f>
        <v/>
      </c>
      <c r="T260" s="10">
        <f>IF(A260="","",IF(COUNT(F260:N260)&lt;9,"待补充",IF(OR(MIN(F260:N260)&lt;0,L260&gt;1,M260&gt;1),"检查输入",ROUND(F260-SUM(H260:K260)-R260-S260,4))))</f>
        <v/>
      </c>
      <c r="U260" s="10">
        <f>IF(A260="","",IF(COUNT(O260:P260)&lt;2,"待补充",IF(MIN(O260:P260)&lt;0,"检查输入",SUM(O260:P260))))</f>
        <v/>
      </c>
      <c r="V260" s="9">
        <f>IF(A260="","",IF(OR(T260="检查输入",U260="检查输入"),"检查输入",IF(OR(NOT(ISNUMBER(T260)),NOT(ISNUMBER(U260))),"待补充",IF(T260&lt;=0,"不可保本",IFERROR(ROUNDUP(U260/T260,0),"检查输入")))))</f>
        <v/>
      </c>
      <c r="W260" s="10">
        <f>IF(A260="","",IF(OR(NOT(ISNUMBER(T260)),NOT(ISNUMBER(U260)),NOT(ISNUMBER(Q260))),"待补充",IF(OR(Q260&lt;0,Q260&lt;&gt;INT(Q260)),"检查输入",ROUND(Q260*T260-U260,4))))</f>
        <v/>
      </c>
    </row>
    <row r="261" spans="18:23" ht="34" customHeight="1">
      <c r="R261" s="10">
        <f>IF(A261="","",IF(COUNT(G261,L261)&lt;2,"待补充",IF(OR(G261&lt;0,L261&lt;0,L261&gt;1),"检查输入",G261*L261)))</f>
        <v/>
      </c>
      <c r="S261" s="10">
        <f>IF(A261="","",IF(COUNT(M261:N261)&lt;2,"待补充",IF(OR(M261&lt;0,M261&gt;1,N261&lt;0),"检查输入",M261*N261)))</f>
        <v/>
      </c>
      <c r="T261" s="10">
        <f>IF(A261="","",IF(COUNT(F261:N261)&lt;9,"待补充",IF(OR(MIN(F261:N261)&lt;0,L261&gt;1,M261&gt;1),"检查输入",ROUND(F261-SUM(H261:K261)-R261-S261,4))))</f>
        <v/>
      </c>
      <c r="U261" s="10">
        <f>IF(A261="","",IF(COUNT(O261:P261)&lt;2,"待补充",IF(MIN(O261:P261)&lt;0,"检查输入",SUM(O261:P261))))</f>
        <v/>
      </c>
      <c r="V261" s="9">
        <f>IF(A261="","",IF(OR(T261="检查输入",U261="检查输入"),"检查输入",IF(OR(NOT(ISNUMBER(T261)),NOT(ISNUMBER(U261))),"待补充",IF(T261&lt;=0,"不可保本",IFERROR(ROUNDUP(U261/T261,0),"检查输入")))))</f>
        <v/>
      </c>
      <c r="W261" s="10">
        <f>IF(A261="","",IF(OR(NOT(ISNUMBER(T261)),NOT(ISNUMBER(U261)),NOT(ISNUMBER(Q261))),"待补充",IF(OR(Q261&lt;0,Q261&lt;&gt;INT(Q261)),"检查输入",ROUND(Q261*T261-U261,4))))</f>
        <v/>
      </c>
    </row>
    <row r="262" spans="18:23" ht="34" customHeight="1">
      <c r="R262" s="10">
        <f>IF(A262="","",IF(COUNT(G262,L262)&lt;2,"待补充",IF(OR(G262&lt;0,L262&lt;0,L262&gt;1),"检查输入",G262*L262)))</f>
        <v/>
      </c>
      <c r="S262" s="10">
        <f>IF(A262="","",IF(COUNT(M262:N262)&lt;2,"待补充",IF(OR(M262&lt;0,M262&gt;1,N262&lt;0),"检查输入",M262*N262)))</f>
        <v/>
      </c>
      <c r="T262" s="10">
        <f>IF(A262="","",IF(COUNT(F262:N262)&lt;9,"待补充",IF(OR(MIN(F262:N262)&lt;0,L262&gt;1,M262&gt;1),"检查输入",ROUND(F262-SUM(H262:K262)-R262-S262,4))))</f>
        <v/>
      </c>
      <c r="U262" s="10">
        <f>IF(A262="","",IF(COUNT(O262:P262)&lt;2,"待补充",IF(MIN(O262:P262)&lt;0,"检查输入",SUM(O262:P262))))</f>
        <v/>
      </c>
      <c r="V262" s="9">
        <f>IF(A262="","",IF(OR(T262="检查输入",U262="检查输入"),"检查输入",IF(OR(NOT(ISNUMBER(T262)),NOT(ISNUMBER(U262))),"待补充",IF(T262&lt;=0,"不可保本",IFERROR(ROUNDUP(U262/T262,0),"检查输入")))))</f>
        <v/>
      </c>
      <c r="W262" s="10">
        <f>IF(A262="","",IF(OR(NOT(ISNUMBER(T262)),NOT(ISNUMBER(U262)),NOT(ISNUMBER(Q262))),"待补充",IF(OR(Q262&lt;0,Q262&lt;&gt;INT(Q262)),"检查输入",ROUND(Q262*T262-U262,4))))</f>
        <v/>
      </c>
    </row>
    <row r="263" spans="18:23" ht="34" customHeight="1">
      <c r="R263" s="10">
        <f>IF(A263="","",IF(COUNT(G263,L263)&lt;2,"待补充",IF(OR(G263&lt;0,L263&lt;0,L263&gt;1),"检查输入",G263*L263)))</f>
        <v/>
      </c>
      <c r="S263" s="10">
        <f>IF(A263="","",IF(COUNT(M263:N263)&lt;2,"待补充",IF(OR(M263&lt;0,M263&gt;1,N263&lt;0),"检查输入",M263*N263)))</f>
        <v/>
      </c>
      <c r="T263" s="10">
        <f>IF(A263="","",IF(COUNT(F263:N263)&lt;9,"待补充",IF(OR(MIN(F263:N263)&lt;0,L263&gt;1,M263&gt;1),"检查输入",ROUND(F263-SUM(H263:K263)-R263-S263,4))))</f>
        <v/>
      </c>
      <c r="U263" s="10">
        <f>IF(A263="","",IF(COUNT(O263:P263)&lt;2,"待补充",IF(MIN(O263:P263)&lt;0,"检查输入",SUM(O263:P263))))</f>
        <v/>
      </c>
      <c r="V263" s="9">
        <f>IF(A263="","",IF(OR(T263="检查输入",U263="检查输入"),"检查输入",IF(OR(NOT(ISNUMBER(T263)),NOT(ISNUMBER(U263))),"待补充",IF(T263&lt;=0,"不可保本",IFERROR(ROUNDUP(U263/T263,0),"检查输入")))))</f>
        <v/>
      </c>
      <c r="W263" s="10">
        <f>IF(A263="","",IF(OR(NOT(ISNUMBER(T263)),NOT(ISNUMBER(U263)),NOT(ISNUMBER(Q263))),"待补充",IF(OR(Q263&lt;0,Q263&lt;&gt;INT(Q263)),"检查输入",ROUND(Q263*T263-U263,4))))</f>
        <v/>
      </c>
    </row>
    <row r="264" spans="18:23" ht="34" customHeight="1">
      <c r="R264" s="10">
        <f>IF(A264="","",IF(COUNT(G264,L264)&lt;2,"待补充",IF(OR(G264&lt;0,L264&lt;0,L264&gt;1),"检查输入",G264*L264)))</f>
        <v/>
      </c>
      <c r="S264" s="10">
        <f>IF(A264="","",IF(COUNT(M264:N264)&lt;2,"待补充",IF(OR(M264&lt;0,M264&gt;1,N264&lt;0),"检查输入",M264*N264)))</f>
        <v/>
      </c>
      <c r="T264" s="10">
        <f>IF(A264="","",IF(COUNT(F264:N264)&lt;9,"待补充",IF(OR(MIN(F264:N264)&lt;0,L264&gt;1,M264&gt;1),"检查输入",ROUND(F264-SUM(H264:K264)-R264-S264,4))))</f>
        <v/>
      </c>
      <c r="U264" s="10">
        <f>IF(A264="","",IF(COUNT(O264:P264)&lt;2,"待补充",IF(MIN(O264:P264)&lt;0,"检查输入",SUM(O264:P264))))</f>
        <v/>
      </c>
      <c r="V264" s="9">
        <f>IF(A264="","",IF(OR(T264="检查输入",U264="检查输入"),"检查输入",IF(OR(NOT(ISNUMBER(T264)),NOT(ISNUMBER(U264))),"待补充",IF(T264&lt;=0,"不可保本",IFERROR(ROUNDUP(U264/T264,0),"检查输入")))))</f>
        <v/>
      </c>
      <c r="W264" s="10">
        <f>IF(A264="","",IF(OR(NOT(ISNUMBER(T264)),NOT(ISNUMBER(U264)),NOT(ISNUMBER(Q264))),"待补充",IF(OR(Q264&lt;0,Q264&lt;&gt;INT(Q264)),"检查输入",ROUND(Q264*T264-U264,4))))</f>
        <v/>
      </c>
    </row>
    <row r="265" spans="18:23" ht="34" customHeight="1">
      <c r="R265" s="10">
        <f>IF(A265="","",IF(COUNT(G265,L265)&lt;2,"待补充",IF(OR(G265&lt;0,L265&lt;0,L265&gt;1),"检查输入",G265*L265)))</f>
        <v/>
      </c>
      <c r="S265" s="10">
        <f>IF(A265="","",IF(COUNT(M265:N265)&lt;2,"待补充",IF(OR(M265&lt;0,M265&gt;1,N265&lt;0),"检查输入",M265*N265)))</f>
        <v/>
      </c>
      <c r="T265" s="10">
        <f>IF(A265="","",IF(COUNT(F265:N265)&lt;9,"待补充",IF(OR(MIN(F265:N265)&lt;0,L265&gt;1,M265&gt;1),"检查输入",ROUND(F265-SUM(H265:K265)-R265-S265,4))))</f>
        <v/>
      </c>
      <c r="U265" s="10">
        <f>IF(A265="","",IF(COUNT(O265:P265)&lt;2,"待补充",IF(MIN(O265:P265)&lt;0,"检查输入",SUM(O265:P265))))</f>
        <v/>
      </c>
      <c r="V265" s="9">
        <f>IF(A265="","",IF(OR(T265="检查输入",U265="检查输入"),"检查输入",IF(OR(NOT(ISNUMBER(T265)),NOT(ISNUMBER(U265))),"待补充",IF(T265&lt;=0,"不可保本",IFERROR(ROUNDUP(U265/T265,0),"检查输入")))))</f>
        <v/>
      </c>
      <c r="W265" s="10">
        <f>IF(A265="","",IF(OR(NOT(ISNUMBER(T265)),NOT(ISNUMBER(U265)),NOT(ISNUMBER(Q265))),"待补充",IF(OR(Q265&lt;0,Q265&lt;&gt;INT(Q265)),"检查输入",ROUND(Q265*T265-U265,4))))</f>
        <v/>
      </c>
    </row>
    <row r="266" spans="18:23" ht="34" customHeight="1">
      <c r="R266" s="10">
        <f>IF(A266="","",IF(COUNT(G266,L266)&lt;2,"待补充",IF(OR(G266&lt;0,L266&lt;0,L266&gt;1),"检查输入",G266*L266)))</f>
        <v/>
      </c>
      <c r="S266" s="10">
        <f>IF(A266="","",IF(COUNT(M266:N266)&lt;2,"待补充",IF(OR(M266&lt;0,M266&gt;1,N266&lt;0),"检查输入",M266*N266)))</f>
        <v/>
      </c>
      <c r="T266" s="10">
        <f>IF(A266="","",IF(COUNT(F266:N266)&lt;9,"待补充",IF(OR(MIN(F266:N266)&lt;0,L266&gt;1,M266&gt;1),"检查输入",ROUND(F266-SUM(H266:K266)-R266-S266,4))))</f>
        <v/>
      </c>
      <c r="U266" s="10">
        <f>IF(A266="","",IF(COUNT(O266:P266)&lt;2,"待补充",IF(MIN(O266:P266)&lt;0,"检查输入",SUM(O266:P266))))</f>
        <v/>
      </c>
      <c r="V266" s="9">
        <f>IF(A266="","",IF(OR(T266="检查输入",U266="检查输入"),"检查输入",IF(OR(NOT(ISNUMBER(T266)),NOT(ISNUMBER(U266))),"待补充",IF(T266&lt;=0,"不可保本",IFERROR(ROUNDUP(U266/T266,0),"检查输入")))))</f>
        <v/>
      </c>
      <c r="W266" s="10">
        <f>IF(A266="","",IF(OR(NOT(ISNUMBER(T266)),NOT(ISNUMBER(U266)),NOT(ISNUMBER(Q266))),"待补充",IF(OR(Q266&lt;0,Q266&lt;&gt;INT(Q266)),"检查输入",ROUND(Q266*T266-U266,4))))</f>
        <v/>
      </c>
    </row>
    <row r="267" spans="18:23" ht="34" customHeight="1">
      <c r="R267" s="10">
        <f>IF(A267="","",IF(COUNT(G267,L267)&lt;2,"待补充",IF(OR(G267&lt;0,L267&lt;0,L267&gt;1),"检查输入",G267*L267)))</f>
        <v/>
      </c>
      <c r="S267" s="10">
        <f>IF(A267="","",IF(COUNT(M267:N267)&lt;2,"待补充",IF(OR(M267&lt;0,M267&gt;1,N267&lt;0),"检查输入",M267*N267)))</f>
        <v/>
      </c>
      <c r="T267" s="10">
        <f>IF(A267="","",IF(COUNT(F267:N267)&lt;9,"待补充",IF(OR(MIN(F267:N267)&lt;0,L267&gt;1,M267&gt;1),"检查输入",ROUND(F267-SUM(H267:K267)-R267-S267,4))))</f>
        <v/>
      </c>
      <c r="U267" s="10">
        <f>IF(A267="","",IF(COUNT(O267:P267)&lt;2,"待补充",IF(MIN(O267:P267)&lt;0,"检查输入",SUM(O267:P267))))</f>
        <v/>
      </c>
      <c r="V267" s="9">
        <f>IF(A267="","",IF(OR(T267="检查输入",U267="检查输入"),"检查输入",IF(OR(NOT(ISNUMBER(T267)),NOT(ISNUMBER(U267))),"待补充",IF(T267&lt;=0,"不可保本",IFERROR(ROUNDUP(U267/T267,0),"检查输入")))))</f>
        <v/>
      </c>
      <c r="W267" s="10">
        <f>IF(A267="","",IF(OR(NOT(ISNUMBER(T267)),NOT(ISNUMBER(U267)),NOT(ISNUMBER(Q267))),"待补充",IF(OR(Q267&lt;0,Q267&lt;&gt;INT(Q267)),"检查输入",ROUND(Q267*T267-U267,4))))</f>
        <v/>
      </c>
    </row>
    <row r="268" spans="18:23" ht="34" customHeight="1">
      <c r="R268" s="10">
        <f>IF(A268="","",IF(COUNT(G268,L268)&lt;2,"待补充",IF(OR(G268&lt;0,L268&lt;0,L268&gt;1),"检查输入",G268*L268)))</f>
        <v/>
      </c>
      <c r="S268" s="10">
        <f>IF(A268="","",IF(COUNT(M268:N268)&lt;2,"待补充",IF(OR(M268&lt;0,M268&gt;1,N268&lt;0),"检查输入",M268*N268)))</f>
        <v/>
      </c>
      <c r="T268" s="10">
        <f>IF(A268="","",IF(COUNT(F268:N268)&lt;9,"待补充",IF(OR(MIN(F268:N268)&lt;0,L268&gt;1,M268&gt;1),"检查输入",ROUND(F268-SUM(H268:K268)-R268-S268,4))))</f>
        <v/>
      </c>
      <c r="U268" s="10">
        <f>IF(A268="","",IF(COUNT(O268:P268)&lt;2,"待补充",IF(MIN(O268:P268)&lt;0,"检查输入",SUM(O268:P268))))</f>
        <v/>
      </c>
      <c r="V268" s="9">
        <f>IF(A268="","",IF(OR(T268="检查输入",U268="检查输入"),"检查输入",IF(OR(NOT(ISNUMBER(T268)),NOT(ISNUMBER(U268))),"待补充",IF(T268&lt;=0,"不可保本",IFERROR(ROUNDUP(U268/T268,0),"检查输入")))))</f>
        <v/>
      </c>
      <c r="W268" s="10">
        <f>IF(A268="","",IF(OR(NOT(ISNUMBER(T268)),NOT(ISNUMBER(U268)),NOT(ISNUMBER(Q268))),"待补充",IF(OR(Q268&lt;0,Q268&lt;&gt;INT(Q268)),"检查输入",ROUND(Q268*T268-U268,4))))</f>
        <v/>
      </c>
    </row>
    <row r="269" spans="18:23" ht="34" customHeight="1">
      <c r="R269" s="10">
        <f>IF(A269="","",IF(COUNT(G269,L269)&lt;2,"待补充",IF(OR(G269&lt;0,L269&lt;0,L269&gt;1),"检查输入",G269*L269)))</f>
        <v/>
      </c>
      <c r="S269" s="10">
        <f>IF(A269="","",IF(COUNT(M269:N269)&lt;2,"待补充",IF(OR(M269&lt;0,M269&gt;1,N269&lt;0),"检查输入",M269*N269)))</f>
        <v/>
      </c>
      <c r="T269" s="10">
        <f>IF(A269="","",IF(COUNT(F269:N269)&lt;9,"待补充",IF(OR(MIN(F269:N269)&lt;0,L269&gt;1,M269&gt;1),"检查输入",ROUND(F269-SUM(H269:K269)-R269-S269,4))))</f>
        <v/>
      </c>
      <c r="U269" s="10">
        <f>IF(A269="","",IF(COUNT(O269:P269)&lt;2,"待补充",IF(MIN(O269:P269)&lt;0,"检查输入",SUM(O269:P269))))</f>
        <v/>
      </c>
      <c r="V269" s="9">
        <f>IF(A269="","",IF(OR(T269="检查输入",U269="检查输入"),"检查输入",IF(OR(NOT(ISNUMBER(T269)),NOT(ISNUMBER(U269))),"待补充",IF(T269&lt;=0,"不可保本",IFERROR(ROUNDUP(U269/T269,0),"检查输入")))))</f>
        <v/>
      </c>
      <c r="W269" s="10">
        <f>IF(A269="","",IF(OR(NOT(ISNUMBER(T269)),NOT(ISNUMBER(U269)),NOT(ISNUMBER(Q269))),"待补充",IF(OR(Q269&lt;0,Q269&lt;&gt;INT(Q269)),"检查输入",ROUND(Q269*T269-U269,4))))</f>
        <v/>
      </c>
    </row>
    <row r="270" spans="18:23" ht="34" customHeight="1">
      <c r="R270" s="10">
        <f>IF(A270="","",IF(COUNT(G270,L270)&lt;2,"待补充",IF(OR(G270&lt;0,L270&lt;0,L270&gt;1),"检查输入",G270*L270)))</f>
        <v/>
      </c>
      <c r="S270" s="10">
        <f>IF(A270="","",IF(COUNT(M270:N270)&lt;2,"待补充",IF(OR(M270&lt;0,M270&gt;1,N270&lt;0),"检查输入",M270*N270)))</f>
        <v/>
      </c>
      <c r="T270" s="10">
        <f>IF(A270="","",IF(COUNT(F270:N270)&lt;9,"待补充",IF(OR(MIN(F270:N270)&lt;0,L270&gt;1,M270&gt;1),"检查输入",ROUND(F270-SUM(H270:K270)-R270-S270,4))))</f>
        <v/>
      </c>
      <c r="U270" s="10">
        <f>IF(A270="","",IF(COUNT(O270:P270)&lt;2,"待补充",IF(MIN(O270:P270)&lt;0,"检查输入",SUM(O270:P270))))</f>
        <v/>
      </c>
      <c r="V270" s="9">
        <f>IF(A270="","",IF(OR(T270="检查输入",U270="检查输入"),"检查输入",IF(OR(NOT(ISNUMBER(T270)),NOT(ISNUMBER(U270))),"待补充",IF(T270&lt;=0,"不可保本",IFERROR(ROUNDUP(U270/T270,0),"检查输入")))))</f>
        <v/>
      </c>
      <c r="W270" s="10">
        <f>IF(A270="","",IF(OR(NOT(ISNUMBER(T270)),NOT(ISNUMBER(U270)),NOT(ISNUMBER(Q270))),"待补充",IF(OR(Q270&lt;0,Q270&lt;&gt;INT(Q270)),"检查输入",ROUND(Q270*T270-U270,4))))</f>
        <v/>
      </c>
    </row>
    <row r="271" spans="18:23" ht="34" customHeight="1">
      <c r="R271" s="10">
        <f>IF(A271="","",IF(COUNT(G271,L271)&lt;2,"待补充",IF(OR(G271&lt;0,L271&lt;0,L271&gt;1),"检查输入",G271*L271)))</f>
        <v/>
      </c>
      <c r="S271" s="10">
        <f>IF(A271="","",IF(COUNT(M271:N271)&lt;2,"待补充",IF(OR(M271&lt;0,M271&gt;1,N271&lt;0),"检查输入",M271*N271)))</f>
        <v/>
      </c>
      <c r="T271" s="10">
        <f>IF(A271="","",IF(COUNT(F271:N271)&lt;9,"待补充",IF(OR(MIN(F271:N271)&lt;0,L271&gt;1,M271&gt;1),"检查输入",ROUND(F271-SUM(H271:K271)-R271-S271,4))))</f>
        <v/>
      </c>
      <c r="U271" s="10">
        <f>IF(A271="","",IF(COUNT(O271:P271)&lt;2,"待补充",IF(MIN(O271:P271)&lt;0,"检查输入",SUM(O271:P271))))</f>
        <v/>
      </c>
      <c r="V271" s="9">
        <f>IF(A271="","",IF(OR(T271="检查输入",U271="检查输入"),"检查输入",IF(OR(NOT(ISNUMBER(T271)),NOT(ISNUMBER(U271))),"待补充",IF(T271&lt;=0,"不可保本",IFERROR(ROUNDUP(U271/T271,0),"检查输入")))))</f>
        <v/>
      </c>
      <c r="W271" s="10">
        <f>IF(A271="","",IF(OR(NOT(ISNUMBER(T271)),NOT(ISNUMBER(U271)),NOT(ISNUMBER(Q271))),"待补充",IF(OR(Q271&lt;0,Q271&lt;&gt;INT(Q271)),"检查输入",ROUND(Q271*T271-U271,4))))</f>
        <v/>
      </c>
    </row>
    <row r="272" spans="18:23" ht="34" customHeight="1">
      <c r="R272" s="10">
        <f>IF(A272="","",IF(COUNT(G272,L272)&lt;2,"待补充",IF(OR(G272&lt;0,L272&lt;0,L272&gt;1),"检查输入",G272*L272)))</f>
        <v/>
      </c>
      <c r="S272" s="10">
        <f>IF(A272="","",IF(COUNT(M272:N272)&lt;2,"待补充",IF(OR(M272&lt;0,M272&gt;1,N272&lt;0),"检查输入",M272*N272)))</f>
        <v/>
      </c>
      <c r="T272" s="10">
        <f>IF(A272="","",IF(COUNT(F272:N272)&lt;9,"待补充",IF(OR(MIN(F272:N272)&lt;0,L272&gt;1,M272&gt;1),"检查输入",ROUND(F272-SUM(H272:K272)-R272-S272,4))))</f>
        <v/>
      </c>
      <c r="U272" s="10">
        <f>IF(A272="","",IF(COUNT(O272:P272)&lt;2,"待补充",IF(MIN(O272:P272)&lt;0,"检查输入",SUM(O272:P272))))</f>
        <v/>
      </c>
      <c r="V272" s="9">
        <f>IF(A272="","",IF(OR(T272="检查输入",U272="检查输入"),"检查输入",IF(OR(NOT(ISNUMBER(T272)),NOT(ISNUMBER(U272))),"待补充",IF(T272&lt;=0,"不可保本",IFERROR(ROUNDUP(U272/T272,0),"检查输入")))))</f>
        <v/>
      </c>
      <c r="W272" s="10">
        <f>IF(A272="","",IF(OR(NOT(ISNUMBER(T272)),NOT(ISNUMBER(U272)),NOT(ISNUMBER(Q272))),"待补充",IF(OR(Q272&lt;0,Q272&lt;&gt;INT(Q272)),"检查输入",ROUND(Q272*T272-U272,4))))</f>
        <v/>
      </c>
    </row>
    <row r="273" spans="18:23" ht="34" customHeight="1">
      <c r="R273" s="10">
        <f>IF(A273="","",IF(COUNT(G273,L273)&lt;2,"待补充",IF(OR(G273&lt;0,L273&lt;0,L273&gt;1),"检查输入",G273*L273)))</f>
        <v/>
      </c>
      <c r="S273" s="10">
        <f>IF(A273="","",IF(COUNT(M273:N273)&lt;2,"待补充",IF(OR(M273&lt;0,M273&gt;1,N273&lt;0),"检查输入",M273*N273)))</f>
        <v/>
      </c>
      <c r="T273" s="10">
        <f>IF(A273="","",IF(COUNT(F273:N273)&lt;9,"待补充",IF(OR(MIN(F273:N273)&lt;0,L273&gt;1,M273&gt;1),"检查输入",ROUND(F273-SUM(H273:K273)-R273-S273,4))))</f>
        <v/>
      </c>
      <c r="U273" s="10">
        <f>IF(A273="","",IF(COUNT(O273:P273)&lt;2,"待补充",IF(MIN(O273:P273)&lt;0,"检查输入",SUM(O273:P273))))</f>
        <v/>
      </c>
      <c r="V273" s="9">
        <f>IF(A273="","",IF(OR(T273="检查输入",U273="检查输入"),"检查输入",IF(OR(NOT(ISNUMBER(T273)),NOT(ISNUMBER(U273))),"待补充",IF(T273&lt;=0,"不可保本",IFERROR(ROUNDUP(U273/T273,0),"检查输入")))))</f>
        <v/>
      </c>
      <c r="W273" s="10">
        <f>IF(A273="","",IF(OR(NOT(ISNUMBER(T273)),NOT(ISNUMBER(U273)),NOT(ISNUMBER(Q273))),"待补充",IF(OR(Q273&lt;0,Q273&lt;&gt;INT(Q273)),"检查输入",ROUND(Q273*T273-U273,4))))</f>
        <v/>
      </c>
    </row>
    <row r="274" spans="18:23" ht="34" customHeight="1">
      <c r="R274" s="10">
        <f>IF(A274="","",IF(COUNT(G274,L274)&lt;2,"待补充",IF(OR(G274&lt;0,L274&lt;0,L274&gt;1),"检查输入",G274*L274)))</f>
        <v/>
      </c>
      <c r="S274" s="10">
        <f>IF(A274="","",IF(COUNT(M274:N274)&lt;2,"待补充",IF(OR(M274&lt;0,M274&gt;1,N274&lt;0),"检查输入",M274*N274)))</f>
        <v/>
      </c>
      <c r="T274" s="10">
        <f>IF(A274="","",IF(COUNT(F274:N274)&lt;9,"待补充",IF(OR(MIN(F274:N274)&lt;0,L274&gt;1,M274&gt;1),"检查输入",ROUND(F274-SUM(H274:K274)-R274-S274,4))))</f>
        <v/>
      </c>
      <c r="U274" s="10">
        <f>IF(A274="","",IF(COUNT(O274:P274)&lt;2,"待补充",IF(MIN(O274:P274)&lt;0,"检查输入",SUM(O274:P274))))</f>
        <v/>
      </c>
      <c r="V274" s="9">
        <f>IF(A274="","",IF(OR(T274="检查输入",U274="检查输入"),"检查输入",IF(OR(NOT(ISNUMBER(T274)),NOT(ISNUMBER(U274))),"待补充",IF(T274&lt;=0,"不可保本",IFERROR(ROUNDUP(U274/T274,0),"检查输入")))))</f>
        <v/>
      </c>
      <c r="W274" s="10">
        <f>IF(A274="","",IF(OR(NOT(ISNUMBER(T274)),NOT(ISNUMBER(U274)),NOT(ISNUMBER(Q274))),"待补充",IF(OR(Q274&lt;0,Q274&lt;&gt;INT(Q274)),"检查输入",ROUND(Q274*T274-U274,4))))</f>
        <v/>
      </c>
    </row>
    <row r="275" spans="18:23" ht="34" customHeight="1">
      <c r="R275" s="10">
        <f>IF(A275="","",IF(COUNT(G275,L275)&lt;2,"待补充",IF(OR(G275&lt;0,L275&lt;0,L275&gt;1),"检查输入",G275*L275)))</f>
        <v/>
      </c>
      <c r="S275" s="10">
        <f>IF(A275="","",IF(COUNT(M275:N275)&lt;2,"待补充",IF(OR(M275&lt;0,M275&gt;1,N275&lt;0),"检查输入",M275*N275)))</f>
        <v/>
      </c>
      <c r="T275" s="10">
        <f>IF(A275="","",IF(COUNT(F275:N275)&lt;9,"待补充",IF(OR(MIN(F275:N275)&lt;0,L275&gt;1,M275&gt;1),"检查输入",ROUND(F275-SUM(H275:K275)-R275-S275,4))))</f>
        <v/>
      </c>
      <c r="U275" s="10">
        <f>IF(A275="","",IF(COUNT(O275:P275)&lt;2,"待补充",IF(MIN(O275:P275)&lt;0,"检查输入",SUM(O275:P275))))</f>
        <v/>
      </c>
      <c r="V275" s="9">
        <f>IF(A275="","",IF(OR(T275="检查输入",U275="检查输入"),"检查输入",IF(OR(NOT(ISNUMBER(T275)),NOT(ISNUMBER(U275))),"待补充",IF(T275&lt;=0,"不可保本",IFERROR(ROUNDUP(U275/T275,0),"检查输入")))))</f>
        <v/>
      </c>
      <c r="W275" s="10">
        <f>IF(A275="","",IF(OR(NOT(ISNUMBER(T275)),NOT(ISNUMBER(U275)),NOT(ISNUMBER(Q275))),"待补充",IF(OR(Q275&lt;0,Q275&lt;&gt;INT(Q275)),"检查输入",ROUND(Q275*T275-U275,4))))</f>
        <v/>
      </c>
    </row>
    <row r="276" spans="18:23" ht="34" customHeight="1">
      <c r="R276" s="10">
        <f>IF(A276="","",IF(COUNT(G276,L276)&lt;2,"待补充",IF(OR(G276&lt;0,L276&lt;0,L276&gt;1),"检查输入",G276*L276)))</f>
        <v/>
      </c>
      <c r="S276" s="10">
        <f>IF(A276="","",IF(COUNT(M276:N276)&lt;2,"待补充",IF(OR(M276&lt;0,M276&gt;1,N276&lt;0),"检查输入",M276*N276)))</f>
        <v/>
      </c>
      <c r="T276" s="10">
        <f>IF(A276="","",IF(COUNT(F276:N276)&lt;9,"待补充",IF(OR(MIN(F276:N276)&lt;0,L276&gt;1,M276&gt;1),"检查输入",ROUND(F276-SUM(H276:K276)-R276-S276,4))))</f>
        <v/>
      </c>
      <c r="U276" s="10">
        <f>IF(A276="","",IF(COUNT(O276:P276)&lt;2,"待补充",IF(MIN(O276:P276)&lt;0,"检查输入",SUM(O276:P276))))</f>
        <v/>
      </c>
      <c r="V276" s="9">
        <f>IF(A276="","",IF(OR(T276="检查输入",U276="检查输入"),"检查输入",IF(OR(NOT(ISNUMBER(T276)),NOT(ISNUMBER(U276))),"待补充",IF(T276&lt;=0,"不可保本",IFERROR(ROUNDUP(U276/T276,0),"检查输入")))))</f>
        <v/>
      </c>
      <c r="W276" s="10">
        <f>IF(A276="","",IF(OR(NOT(ISNUMBER(T276)),NOT(ISNUMBER(U276)),NOT(ISNUMBER(Q276))),"待补充",IF(OR(Q276&lt;0,Q276&lt;&gt;INT(Q276)),"检查输入",ROUND(Q276*T276-U276,4))))</f>
        <v/>
      </c>
    </row>
    <row r="277" spans="18:23" ht="34" customHeight="1">
      <c r="R277" s="10">
        <f>IF(A277="","",IF(COUNT(G277,L277)&lt;2,"待补充",IF(OR(G277&lt;0,L277&lt;0,L277&gt;1),"检查输入",G277*L277)))</f>
        <v/>
      </c>
      <c r="S277" s="10">
        <f>IF(A277="","",IF(COUNT(M277:N277)&lt;2,"待补充",IF(OR(M277&lt;0,M277&gt;1,N277&lt;0),"检查输入",M277*N277)))</f>
        <v/>
      </c>
      <c r="T277" s="10">
        <f>IF(A277="","",IF(COUNT(F277:N277)&lt;9,"待补充",IF(OR(MIN(F277:N277)&lt;0,L277&gt;1,M277&gt;1),"检查输入",ROUND(F277-SUM(H277:K277)-R277-S277,4))))</f>
        <v/>
      </c>
      <c r="U277" s="10">
        <f>IF(A277="","",IF(COUNT(O277:P277)&lt;2,"待补充",IF(MIN(O277:P277)&lt;0,"检查输入",SUM(O277:P277))))</f>
        <v/>
      </c>
      <c r="V277" s="9">
        <f>IF(A277="","",IF(OR(T277="检查输入",U277="检查输入"),"检查输入",IF(OR(NOT(ISNUMBER(T277)),NOT(ISNUMBER(U277))),"待补充",IF(T277&lt;=0,"不可保本",IFERROR(ROUNDUP(U277/T277,0),"检查输入")))))</f>
        <v/>
      </c>
      <c r="W277" s="10">
        <f>IF(A277="","",IF(OR(NOT(ISNUMBER(T277)),NOT(ISNUMBER(U277)),NOT(ISNUMBER(Q277))),"待补充",IF(OR(Q277&lt;0,Q277&lt;&gt;INT(Q277)),"检查输入",ROUND(Q277*T277-U277,4))))</f>
        <v/>
      </c>
    </row>
    <row r="278" spans="18:23" ht="34" customHeight="1">
      <c r="R278" s="10">
        <f>IF(A278="","",IF(COUNT(G278,L278)&lt;2,"待补充",IF(OR(G278&lt;0,L278&lt;0,L278&gt;1),"检查输入",G278*L278)))</f>
        <v/>
      </c>
      <c r="S278" s="10">
        <f>IF(A278="","",IF(COUNT(M278:N278)&lt;2,"待补充",IF(OR(M278&lt;0,M278&gt;1,N278&lt;0),"检查输入",M278*N278)))</f>
        <v/>
      </c>
      <c r="T278" s="10">
        <f>IF(A278="","",IF(COUNT(F278:N278)&lt;9,"待补充",IF(OR(MIN(F278:N278)&lt;0,L278&gt;1,M278&gt;1),"检查输入",ROUND(F278-SUM(H278:K278)-R278-S278,4))))</f>
        <v/>
      </c>
      <c r="U278" s="10">
        <f>IF(A278="","",IF(COUNT(O278:P278)&lt;2,"待补充",IF(MIN(O278:P278)&lt;0,"检查输入",SUM(O278:P278))))</f>
        <v/>
      </c>
      <c r="V278" s="9">
        <f>IF(A278="","",IF(OR(T278="检查输入",U278="检查输入"),"检查输入",IF(OR(NOT(ISNUMBER(T278)),NOT(ISNUMBER(U278))),"待补充",IF(T278&lt;=0,"不可保本",IFERROR(ROUNDUP(U278/T278,0),"检查输入")))))</f>
        <v/>
      </c>
      <c r="W278" s="10">
        <f>IF(A278="","",IF(OR(NOT(ISNUMBER(T278)),NOT(ISNUMBER(U278)),NOT(ISNUMBER(Q278))),"待补充",IF(OR(Q278&lt;0,Q278&lt;&gt;INT(Q278)),"检查输入",ROUND(Q278*T278-U278,4))))</f>
        <v/>
      </c>
    </row>
    <row r="279" spans="18:23" ht="34" customHeight="1">
      <c r="R279" s="10">
        <f>IF(A279="","",IF(COUNT(G279,L279)&lt;2,"待补充",IF(OR(G279&lt;0,L279&lt;0,L279&gt;1),"检查输入",G279*L279)))</f>
        <v/>
      </c>
      <c r="S279" s="10">
        <f>IF(A279="","",IF(COUNT(M279:N279)&lt;2,"待补充",IF(OR(M279&lt;0,M279&gt;1,N279&lt;0),"检查输入",M279*N279)))</f>
        <v/>
      </c>
      <c r="T279" s="10">
        <f>IF(A279="","",IF(COUNT(F279:N279)&lt;9,"待补充",IF(OR(MIN(F279:N279)&lt;0,L279&gt;1,M279&gt;1),"检查输入",ROUND(F279-SUM(H279:K279)-R279-S279,4))))</f>
        <v/>
      </c>
      <c r="U279" s="10">
        <f>IF(A279="","",IF(COUNT(O279:P279)&lt;2,"待补充",IF(MIN(O279:P279)&lt;0,"检查输入",SUM(O279:P279))))</f>
        <v/>
      </c>
      <c r="V279" s="9">
        <f>IF(A279="","",IF(OR(T279="检查输入",U279="检查输入"),"检查输入",IF(OR(NOT(ISNUMBER(T279)),NOT(ISNUMBER(U279))),"待补充",IF(T279&lt;=0,"不可保本",IFERROR(ROUNDUP(U279/T279,0),"检查输入")))))</f>
        <v/>
      </c>
      <c r="W279" s="10">
        <f>IF(A279="","",IF(OR(NOT(ISNUMBER(T279)),NOT(ISNUMBER(U279)),NOT(ISNUMBER(Q279))),"待补充",IF(OR(Q279&lt;0,Q279&lt;&gt;INT(Q279)),"检查输入",ROUND(Q279*T279-U279,4))))</f>
        <v/>
      </c>
    </row>
    <row r="280" spans="18:23" ht="34" customHeight="1">
      <c r="R280" s="10">
        <f>IF(A280="","",IF(COUNT(G280,L280)&lt;2,"待补充",IF(OR(G280&lt;0,L280&lt;0,L280&gt;1),"检查输入",G280*L280)))</f>
        <v/>
      </c>
      <c r="S280" s="10">
        <f>IF(A280="","",IF(COUNT(M280:N280)&lt;2,"待补充",IF(OR(M280&lt;0,M280&gt;1,N280&lt;0),"检查输入",M280*N280)))</f>
        <v/>
      </c>
      <c r="T280" s="10">
        <f>IF(A280="","",IF(COUNT(F280:N280)&lt;9,"待补充",IF(OR(MIN(F280:N280)&lt;0,L280&gt;1,M280&gt;1),"检查输入",ROUND(F280-SUM(H280:K280)-R280-S280,4))))</f>
        <v/>
      </c>
      <c r="U280" s="10">
        <f>IF(A280="","",IF(COUNT(O280:P280)&lt;2,"待补充",IF(MIN(O280:P280)&lt;0,"检查输入",SUM(O280:P280))))</f>
        <v/>
      </c>
      <c r="V280" s="9">
        <f>IF(A280="","",IF(OR(T280="检查输入",U280="检查输入"),"检查输入",IF(OR(NOT(ISNUMBER(T280)),NOT(ISNUMBER(U280))),"待补充",IF(T280&lt;=0,"不可保本",IFERROR(ROUNDUP(U280/T280,0),"检查输入")))))</f>
        <v/>
      </c>
      <c r="W280" s="10">
        <f>IF(A280="","",IF(OR(NOT(ISNUMBER(T280)),NOT(ISNUMBER(U280)),NOT(ISNUMBER(Q280))),"待补充",IF(OR(Q280&lt;0,Q280&lt;&gt;INT(Q280)),"检查输入",ROUND(Q280*T280-U280,4))))</f>
        <v/>
      </c>
    </row>
    <row r="281" spans="18:23" ht="34" customHeight="1">
      <c r="R281" s="10">
        <f>IF(A281="","",IF(COUNT(G281,L281)&lt;2,"待补充",IF(OR(G281&lt;0,L281&lt;0,L281&gt;1),"检查输入",G281*L281)))</f>
        <v/>
      </c>
      <c r="S281" s="10">
        <f>IF(A281="","",IF(COUNT(M281:N281)&lt;2,"待补充",IF(OR(M281&lt;0,M281&gt;1,N281&lt;0),"检查输入",M281*N281)))</f>
        <v/>
      </c>
      <c r="T281" s="10">
        <f>IF(A281="","",IF(COUNT(F281:N281)&lt;9,"待补充",IF(OR(MIN(F281:N281)&lt;0,L281&gt;1,M281&gt;1),"检查输入",ROUND(F281-SUM(H281:K281)-R281-S281,4))))</f>
        <v/>
      </c>
      <c r="U281" s="10">
        <f>IF(A281="","",IF(COUNT(O281:P281)&lt;2,"待补充",IF(MIN(O281:P281)&lt;0,"检查输入",SUM(O281:P281))))</f>
        <v/>
      </c>
      <c r="V281" s="9">
        <f>IF(A281="","",IF(OR(T281="检查输入",U281="检查输入"),"检查输入",IF(OR(NOT(ISNUMBER(T281)),NOT(ISNUMBER(U281))),"待补充",IF(T281&lt;=0,"不可保本",IFERROR(ROUNDUP(U281/T281,0),"检查输入")))))</f>
        <v/>
      </c>
      <c r="W281" s="10">
        <f>IF(A281="","",IF(OR(NOT(ISNUMBER(T281)),NOT(ISNUMBER(U281)),NOT(ISNUMBER(Q281))),"待补充",IF(OR(Q281&lt;0,Q281&lt;&gt;INT(Q281)),"检查输入",ROUND(Q281*T281-U281,4))))</f>
        <v/>
      </c>
    </row>
    <row r="282" spans="18:23" ht="34" customHeight="1">
      <c r="R282" s="10">
        <f>IF(A282="","",IF(COUNT(G282,L282)&lt;2,"待补充",IF(OR(G282&lt;0,L282&lt;0,L282&gt;1),"检查输入",G282*L282)))</f>
        <v/>
      </c>
      <c r="S282" s="10">
        <f>IF(A282="","",IF(COUNT(M282:N282)&lt;2,"待补充",IF(OR(M282&lt;0,M282&gt;1,N282&lt;0),"检查输入",M282*N282)))</f>
        <v/>
      </c>
      <c r="T282" s="10">
        <f>IF(A282="","",IF(COUNT(F282:N282)&lt;9,"待补充",IF(OR(MIN(F282:N282)&lt;0,L282&gt;1,M282&gt;1),"检查输入",ROUND(F282-SUM(H282:K282)-R282-S282,4))))</f>
        <v/>
      </c>
      <c r="U282" s="10">
        <f>IF(A282="","",IF(COUNT(O282:P282)&lt;2,"待补充",IF(MIN(O282:P282)&lt;0,"检查输入",SUM(O282:P282))))</f>
        <v/>
      </c>
      <c r="V282" s="9">
        <f>IF(A282="","",IF(OR(T282="检查输入",U282="检查输入"),"检查输入",IF(OR(NOT(ISNUMBER(T282)),NOT(ISNUMBER(U282))),"待补充",IF(T282&lt;=0,"不可保本",IFERROR(ROUNDUP(U282/T282,0),"检查输入")))))</f>
        <v/>
      </c>
      <c r="W282" s="10">
        <f>IF(A282="","",IF(OR(NOT(ISNUMBER(T282)),NOT(ISNUMBER(U282)),NOT(ISNUMBER(Q282))),"待补充",IF(OR(Q282&lt;0,Q282&lt;&gt;INT(Q282)),"检查输入",ROUND(Q282*T282-U282,4))))</f>
        <v/>
      </c>
    </row>
    <row r="283" spans="18:23" ht="34" customHeight="1">
      <c r="R283" s="10">
        <f>IF(A283="","",IF(COUNT(G283,L283)&lt;2,"待补充",IF(OR(G283&lt;0,L283&lt;0,L283&gt;1),"检查输入",G283*L283)))</f>
        <v/>
      </c>
      <c r="S283" s="10">
        <f>IF(A283="","",IF(COUNT(M283:N283)&lt;2,"待补充",IF(OR(M283&lt;0,M283&gt;1,N283&lt;0),"检查输入",M283*N283)))</f>
        <v/>
      </c>
      <c r="T283" s="10">
        <f>IF(A283="","",IF(COUNT(F283:N283)&lt;9,"待补充",IF(OR(MIN(F283:N283)&lt;0,L283&gt;1,M283&gt;1),"检查输入",ROUND(F283-SUM(H283:K283)-R283-S283,4))))</f>
        <v/>
      </c>
      <c r="U283" s="10">
        <f>IF(A283="","",IF(COUNT(O283:P283)&lt;2,"待补充",IF(MIN(O283:P283)&lt;0,"检查输入",SUM(O283:P283))))</f>
        <v/>
      </c>
      <c r="V283" s="9">
        <f>IF(A283="","",IF(OR(T283="检查输入",U283="检查输入"),"检查输入",IF(OR(NOT(ISNUMBER(T283)),NOT(ISNUMBER(U283))),"待补充",IF(T283&lt;=0,"不可保本",IFERROR(ROUNDUP(U283/T283,0),"检查输入")))))</f>
        <v/>
      </c>
      <c r="W283" s="10">
        <f>IF(A283="","",IF(OR(NOT(ISNUMBER(T283)),NOT(ISNUMBER(U283)),NOT(ISNUMBER(Q283))),"待补充",IF(OR(Q283&lt;0,Q283&lt;&gt;INT(Q283)),"检查输入",ROUND(Q283*T283-U283,4))))</f>
        <v/>
      </c>
    </row>
    <row r="284" spans="18:23" ht="34" customHeight="1">
      <c r="R284" s="10">
        <f>IF(A284="","",IF(COUNT(G284,L284)&lt;2,"待补充",IF(OR(G284&lt;0,L284&lt;0,L284&gt;1),"检查输入",G284*L284)))</f>
        <v/>
      </c>
      <c r="S284" s="10">
        <f>IF(A284="","",IF(COUNT(M284:N284)&lt;2,"待补充",IF(OR(M284&lt;0,M284&gt;1,N284&lt;0),"检查输入",M284*N284)))</f>
        <v/>
      </c>
      <c r="T284" s="10">
        <f>IF(A284="","",IF(COUNT(F284:N284)&lt;9,"待补充",IF(OR(MIN(F284:N284)&lt;0,L284&gt;1,M284&gt;1),"检查输入",ROUND(F284-SUM(H284:K284)-R284-S284,4))))</f>
        <v/>
      </c>
      <c r="U284" s="10">
        <f>IF(A284="","",IF(COUNT(O284:P284)&lt;2,"待补充",IF(MIN(O284:P284)&lt;0,"检查输入",SUM(O284:P284))))</f>
        <v/>
      </c>
      <c r="V284" s="9">
        <f>IF(A284="","",IF(OR(T284="检查输入",U284="检查输入"),"检查输入",IF(OR(NOT(ISNUMBER(T284)),NOT(ISNUMBER(U284))),"待补充",IF(T284&lt;=0,"不可保本",IFERROR(ROUNDUP(U284/T284,0),"检查输入")))))</f>
        <v/>
      </c>
      <c r="W284" s="10">
        <f>IF(A284="","",IF(OR(NOT(ISNUMBER(T284)),NOT(ISNUMBER(U284)),NOT(ISNUMBER(Q284))),"待补充",IF(OR(Q284&lt;0,Q284&lt;&gt;INT(Q284)),"检查输入",ROUND(Q284*T284-U284,4))))</f>
        <v/>
      </c>
    </row>
    <row r="285" spans="18:23" ht="34" customHeight="1">
      <c r="R285" s="10">
        <f>IF(A285="","",IF(COUNT(G285,L285)&lt;2,"待补充",IF(OR(G285&lt;0,L285&lt;0,L285&gt;1),"检查输入",G285*L285)))</f>
        <v/>
      </c>
      <c r="S285" s="10">
        <f>IF(A285="","",IF(COUNT(M285:N285)&lt;2,"待补充",IF(OR(M285&lt;0,M285&gt;1,N285&lt;0),"检查输入",M285*N285)))</f>
        <v/>
      </c>
      <c r="T285" s="10">
        <f>IF(A285="","",IF(COUNT(F285:N285)&lt;9,"待补充",IF(OR(MIN(F285:N285)&lt;0,L285&gt;1,M285&gt;1),"检查输入",ROUND(F285-SUM(H285:K285)-R285-S285,4))))</f>
        <v/>
      </c>
      <c r="U285" s="10">
        <f>IF(A285="","",IF(COUNT(O285:P285)&lt;2,"待补充",IF(MIN(O285:P285)&lt;0,"检查输入",SUM(O285:P285))))</f>
        <v/>
      </c>
      <c r="V285" s="9">
        <f>IF(A285="","",IF(OR(T285="检查输入",U285="检查输入"),"检查输入",IF(OR(NOT(ISNUMBER(T285)),NOT(ISNUMBER(U285))),"待补充",IF(T285&lt;=0,"不可保本",IFERROR(ROUNDUP(U285/T285,0),"检查输入")))))</f>
        <v/>
      </c>
      <c r="W285" s="10">
        <f>IF(A285="","",IF(OR(NOT(ISNUMBER(T285)),NOT(ISNUMBER(U285)),NOT(ISNUMBER(Q285))),"待补充",IF(OR(Q285&lt;0,Q285&lt;&gt;INT(Q285)),"检查输入",ROUND(Q285*T285-U285,4))))</f>
        <v/>
      </c>
    </row>
    <row r="286" spans="18:23" ht="34" customHeight="1">
      <c r="R286" s="10">
        <f>IF(A286="","",IF(COUNT(G286,L286)&lt;2,"待补充",IF(OR(G286&lt;0,L286&lt;0,L286&gt;1),"检查输入",G286*L286)))</f>
        <v/>
      </c>
      <c r="S286" s="10">
        <f>IF(A286="","",IF(COUNT(M286:N286)&lt;2,"待补充",IF(OR(M286&lt;0,M286&gt;1,N286&lt;0),"检查输入",M286*N286)))</f>
        <v/>
      </c>
      <c r="T286" s="10">
        <f>IF(A286="","",IF(COUNT(F286:N286)&lt;9,"待补充",IF(OR(MIN(F286:N286)&lt;0,L286&gt;1,M286&gt;1),"检查输入",ROUND(F286-SUM(H286:K286)-R286-S286,4))))</f>
        <v/>
      </c>
      <c r="U286" s="10">
        <f>IF(A286="","",IF(COUNT(O286:P286)&lt;2,"待补充",IF(MIN(O286:P286)&lt;0,"检查输入",SUM(O286:P286))))</f>
        <v/>
      </c>
      <c r="V286" s="9">
        <f>IF(A286="","",IF(OR(T286="检查输入",U286="检查输入"),"检查输入",IF(OR(NOT(ISNUMBER(T286)),NOT(ISNUMBER(U286))),"待补充",IF(T286&lt;=0,"不可保本",IFERROR(ROUNDUP(U286/T286,0),"检查输入")))))</f>
        <v/>
      </c>
      <c r="W286" s="10">
        <f>IF(A286="","",IF(OR(NOT(ISNUMBER(T286)),NOT(ISNUMBER(U286)),NOT(ISNUMBER(Q286))),"待补充",IF(OR(Q286&lt;0,Q286&lt;&gt;INT(Q286)),"检查输入",ROUND(Q286*T286-U286,4))))</f>
        <v/>
      </c>
    </row>
    <row r="287" spans="18:23" ht="34" customHeight="1">
      <c r="R287" s="10">
        <f>IF(A287="","",IF(COUNT(G287,L287)&lt;2,"待补充",IF(OR(G287&lt;0,L287&lt;0,L287&gt;1),"检查输入",G287*L287)))</f>
        <v/>
      </c>
      <c r="S287" s="10">
        <f>IF(A287="","",IF(COUNT(M287:N287)&lt;2,"待补充",IF(OR(M287&lt;0,M287&gt;1,N287&lt;0),"检查输入",M287*N287)))</f>
        <v/>
      </c>
      <c r="T287" s="10">
        <f>IF(A287="","",IF(COUNT(F287:N287)&lt;9,"待补充",IF(OR(MIN(F287:N287)&lt;0,L287&gt;1,M287&gt;1),"检查输入",ROUND(F287-SUM(H287:K287)-R287-S287,4))))</f>
        <v/>
      </c>
      <c r="U287" s="10">
        <f>IF(A287="","",IF(COUNT(O287:P287)&lt;2,"待补充",IF(MIN(O287:P287)&lt;0,"检查输入",SUM(O287:P287))))</f>
        <v/>
      </c>
      <c r="V287" s="9">
        <f>IF(A287="","",IF(OR(T287="检查输入",U287="检查输入"),"检查输入",IF(OR(NOT(ISNUMBER(T287)),NOT(ISNUMBER(U287))),"待补充",IF(T287&lt;=0,"不可保本",IFERROR(ROUNDUP(U287/T287,0),"检查输入")))))</f>
        <v/>
      </c>
      <c r="W287" s="10">
        <f>IF(A287="","",IF(OR(NOT(ISNUMBER(T287)),NOT(ISNUMBER(U287)),NOT(ISNUMBER(Q287))),"待补充",IF(OR(Q287&lt;0,Q287&lt;&gt;INT(Q287)),"检查输入",ROUND(Q287*T287-U287,4))))</f>
        <v/>
      </c>
    </row>
    <row r="288" spans="18:23" ht="34" customHeight="1">
      <c r="R288" s="10">
        <f>IF(A288="","",IF(COUNT(G288,L288)&lt;2,"待补充",IF(OR(G288&lt;0,L288&lt;0,L288&gt;1),"检查输入",G288*L288)))</f>
        <v/>
      </c>
      <c r="S288" s="10">
        <f>IF(A288="","",IF(COUNT(M288:N288)&lt;2,"待补充",IF(OR(M288&lt;0,M288&gt;1,N288&lt;0),"检查输入",M288*N288)))</f>
        <v/>
      </c>
      <c r="T288" s="10">
        <f>IF(A288="","",IF(COUNT(F288:N288)&lt;9,"待补充",IF(OR(MIN(F288:N288)&lt;0,L288&gt;1,M288&gt;1),"检查输入",ROUND(F288-SUM(H288:K288)-R288-S288,4))))</f>
        <v/>
      </c>
      <c r="U288" s="10">
        <f>IF(A288="","",IF(COUNT(O288:P288)&lt;2,"待补充",IF(MIN(O288:P288)&lt;0,"检查输入",SUM(O288:P288))))</f>
        <v/>
      </c>
      <c r="V288" s="9">
        <f>IF(A288="","",IF(OR(T288="检查输入",U288="检查输入"),"检查输入",IF(OR(NOT(ISNUMBER(T288)),NOT(ISNUMBER(U288))),"待补充",IF(T288&lt;=0,"不可保本",IFERROR(ROUNDUP(U288/T288,0),"检查输入")))))</f>
        <v/>
      </c>
      <c r="W288" s="10">
        <f>IF(A288="","",IF(OR(NOT(ISNUMBER(T288)),NOT(ISNUMBER(U288)),NOT(ISNUMBER(Q288))),"待补充",IF(OR(Q288&lt;0,Q288&lt;&gt;INT(Q288)),"检查输入",ROUND(Q288*T288-U288,4))))</f>
        <v/>
      </c>
    </row>
    <row r="289" spans="18:23" ht="34" customHeight="1">
      <c r="R289" s="10">
        <f>IF(A289="","",IF(COUNT(G289,L289)&lt;2,"待补充",IF(OR(G289&lt;0,L289&lt;0,L289&gt;1),"检查输入",G289*L289)))</f>
        <v/>
      </c>
      <c r="S289" s="10">
        <f>IF(A289="","",IF(COUNT(M289:N289)&lt;2,"待补充",IF(OR(M289&lt;0,M289&gt;1,N289&lt;0),"检查输入",M289*N289)))</f>
        <v/>
      </c>
      <c r="T289" s="10">
        <f>IF(A289="","",IF(COUNT(F289:N289)&lt;9,"待补充",IF(OR(MIN(F289:N289)&lt;0,L289&gt;1,M289&gt;1),"检查输入",ROUND(F289-SUM(H289:K289)-R289-S289,4))))</f>
        <v/>
      </c>
      <c r="U289" s="10">
        <f>IF(A289="","",IF(COUNT(O289:P289)&lt;2,"待补充",IF(MIN(O289:P289)&lt;0,"检查输入",SUM(O289:P289))))</f>
        <v/>
      </c>
      <c r="V289" s="9">
        <f>IF(A289="","",IF(OR(T289="检查输入",U289="检查输入"),"检查输入",IF(OR(NOT(ISNUMBER(T289)),NOT(ISNUMBER(U289))),"待补充",IF(T289&lt;=0,"不可保本",IFERROR(ROUNDUP(U289/T289,0),"检查输入")))))</f>
        <v/>
      </c>
      <c r="W289" s="10">
        <f>IF(A289="","",IF(OR(NOT(ISNUMBER(T289)),NOT(ISNUMBER(U289)),NOT(ISNUMBER(Q289))),"待补充",IF(OR(Q289&lt;0,Q289&lt;&gt;INT(Q289)),"检查输入",ROUND(Q289*T289-U289,4))))</f>
        <v/>
      </c>
    </row>
    <row r="290" spans="18:23" ht="34" customHeight="1">
      <c r="R290" s="10">
        <f>IF(A290="","",IF(COUNT(G290,L290)&lt;2,"待补充",IF(OR(G290&lt;0,L290&lt;0,L290&gt;1),"检查输入",G290*L290)))</f>
        <v/>
      </c>
      <c r="S290" s="10">
        <f>IF(A290="","",IF(COUNT(M290:N290)&lt;2,"待补充",IF(OR(M290&lt;0,M290&gt;1,N290&lt;0),"检查输入",M290*N290)))</f>
        <v/>
      </c>
      <c r="T290" s="10">
        <f>IF(A290="","",IF(COUNT(F290:N290)&lt;9,"待补充",IF(OR(MIN(F290:N290)&lt;0,L290&gt;1,M290&gt;1),"检查输入",ROUND(F290-SUM(H290:K290)-R290-S290,4))))</f>
        <v/>
      </c>
      <c r="U290" s="10">
        <f>IF(A290="","",IF(COUNT(O290:P290)&lt;2,"待补充",IF(MIN(O290:P290)&lt;0,"检查输入",SUM(O290:P290))))</f>
        <v/>
      </c>
      <c r="V290" s="9">
        <f>IF(A290="","",IF(OR(T290="检查输入",U290="检查输入"),"检查输入",IF(OR(NOT(ISNUMBER(T290)),NOT(ISNUMBER(U290))),"待补充",IF(T290&lt;=0,"不可保本",IFERROR(ROUNDUP(U290/T290,0),"检查输入")))))</f>
        <v/>
      </c>
      <c r="W290" s="10">
        <f>IF(A290="","",IF(OR(NOT(ISNUMBER(T290)),NOT(ISNUMBER(U290)),NOT(ISNUMBER(Q290))),"待补充",IF(OR(Q290&lt;0,Q290&lt;&gt;INT(Q290)),"检查输入",ROUND(Q290*T290-U290,4))))</f>
        <v/>
      </c>
    </row>
    <row r="291" spans="18:23" ht="34" customHeight="1">
      <c r="R291" s="10">
        <f>IF(A291="","",IF(COUNT(G291,L291)&lt;2,"待补充",IF(OR(G291&lt;0,L291&lt;0,L291&gt;1),"检查输入",G291*L291)))</f>
        <v/>
      </c>
      <c r="S291" s="10">
        <f>IF(A291="","",IF(COUNT(M291:N291)&lt;2,"待补充",IF(OR(M291&lt;0,M291&gt;1,N291&lt;0),"检查输入",M291*N291)))</f>
        <v/>
      </c>
      <c r="T291" s="10">
        <f>IF(A291="","",IF(COUNT(F291:N291)&lt;9,"待补充",IF(OR(MIN(F291:N291)&lt;0,L291&gt;1,M291&gt;1),"检查输入",ROUND(F291-SUM(H291:K291)-R291-S291,4))))</f>
        <v/>
      </c>
      <c r="U291" s="10">
        <f>IF(A291="","",IF(COUNT(O291:P291)&lt;2,"待补充",IF(MIN(O291:P291)&lt;0,"检查输入",SUM(O291:P291))))</f>
        <v/>
      </c>
      <c r="V291" s="9">
        <f>IF(A291="","",IF(OR(T291="检查输入",U291="检查输入"),"检查输入",IF(OR(NOT(ISNUMBER(T291)),NOT(ISNUMBER(U291))),"待补充",IF(T291&lt;=0,"不可保本",IFERROR(ROUNDUP(U291/T291,0),"检查输入")))))</f>
        <v/>
      </c>
      <c r="W291" s="10">
        <f>IF(A291="","",IF(OR(NOT(ISNUMBER(T291)),NOT(ISNUMBER(U291)),NOT(ISNUMBER(Q291))),"待补充",IF(OR(Q291&lt;0,Q291&lt;&gt;INT(Q291)),"检查输入",ROUND(Q291*T291-U291,4))))</f>
        <v/>
      </c>
    </row>
    <row r="292" spans="18:23" ht="34" customHeight="1">
      <c r="R292" s="10">
        <f>IF(A292="","",IF(COUNT(G292,L292)&lt;2,"待补充",IF(OR(G292&lt;0,L292&lt;0,L292&gt;1),"检查输入",G292*L292)))</f>
        <v/>
      </c>
      <c r="S292" s="10">
        <f>IF(A292="","",IF(COUNT(M292:N292)&lt;2,"待补充",IF(OR(M292&lt;0,M292&gt;1,N292&lt;0),"检查输入",M292*N292)))</f>
        <v/>
      </c>
      <c r="T292" s="10">
        <f>IF(A292="","",IF(COUNT(F292:N292)&lt;9,"待补充",IF(OR(MIN(F292:N292)&lt;0,L292&gt;1,M292&gt;1),"检查输入",ROUND(F292-SUM(H292:K292)-R292-S292,4))))</f>
        <v/>
      </c>
      <c r="U292" s="10">
        <f>IF(A292="","",IF(COUNT(O292:P292)&lt;2,"待补充",IF(MIN(O292:P292)&lt;0,"检查输入",SUM(O292:P292))))</f>
        <v/>
      </c>
      <c r="V292" s="9">
        <f>IF(A292="","",IF(OR(T292="检查输入",U292="检查输入"),"检查输入",IF(OR(NOT(ISNUMBER(T292)),NOT(ISNUMBER(U292))),"待补充",IF(T292&lt;=0,"不可保本",IFERROR(ROUNDUP(U292/T292,0),"检查输入")))))</f>
        <v/>
      </c>
      <c r="W292" s="10">
        <f>IF(A292="","",IF(OR(NOT(ISNUMBER(T292)),NOT(ISNUMBER(U292)),NOT(ISNUMBER(Q292))),"待补充",IF(OR(Q292&lt;0,Q292&lt;&gt;INT(Q292)),"检查输入",ROUND(Q292*T292-U292,4))))</f>
        <v/>
      </c>
    </row>
    <row r="293" spans="18:23" ht="34" customHeight="1">
      <c r="R293" s="10">
        <f>IF(A293="","",IF(COUNT(G293,L293)&lt;2,"待补充",IF(OR(G293&lt;0,L293&lt;0,L293&gt;1),"检查输入",G293*L293)))</f>
        <v/>
      </c>
      <c r="S293" s="10">
        <f>IF(A293="","",IF(COUNT(M293:N293)&lt;2,"待补充",IF(OR(M293&lt;0,M293&gt;1,N293&lt;0),"检查输入",M293*N293)))</f>
        <v/>
      </c>
      <c r="T293" s="10">
        <f>IF(A293="","",IF(COUNT(F293:N293)&lt;9,"待补充",IF(OR(MIN(F293:N293)&lt;0,L293&gt;1,M293&gt;1),"检查输入",ROUND(F293-SUM(H293:K293)-R293-S293,4))))</f>
        <v/>
      </c>
      <c r="U293" s="10">
        <f>IF(A293="","",IF(COUNT(O293:P293)&lt;2,"待补充",IF(MIN(O293:P293)&lt;0,"检查输入",SUM(O293:P293))))</f>
        <v/>
      </c>
      <c r="V293" s="9">
        <f>IF(A293="","",IF(OR(T293="检查输入",U293="检查输入"),"检查输入",IF(OR(NOT(ISNUMBER(T293)),NOT(ISNUMBER(U293))),"待补充",IF(T293&lt;=0,"不可保本",IFERROR(ROUNDUP(U293/T293,0),"检查输入")))))</f>
        <v/>
      </c>
      <c r="W293" s="10">
        <f>IF(A293="","",IF(OR(NOT(ISNUMBER(T293)),NOT(ISNUMBER(U293)),NOT(ISNUMBER(Q293))),"待补充",IF(OR(Q293&lt;0,Q293&lt;&gt;INT(Q293)),"检查输入",ROUND(Q293*T293-U293,4))))</f>
        <v/>
      </c>
    </row>
    <row r="294" spans="18:23" ht="34" customHeight="1">
      <c r="R294" s="10">
        <f>IF(A294="","",IF(COUNT(G294,L294)&lt;2,"待补充",IF(OR(G294&lt;0,L294&lt;0,L294&gt;1),"检查输入",G294*L294)))</f>
        <v/>
      </c>
      <c r="S294" s="10">
        <f>IF(A294="","",IF(COUNT(M294:N294)&lt;2,"待补充",IF(OR(M294&lt;0,M294&gt;1,N294&lt;0),"检查输入",M294*N294)))</f>
        <v/>
      </c>
      <c r="T294" s="10">
        <f>IF(A294="","",IF(COUNT(F294:N294)&lt;9,"待补充",IF(OR(MIN(F294:N294)&lt;0,L294&gt;1,M294&gt;1),"检查输入",ROUND(F294-SUM(H294:K294)-R294-S294,4))))</f>
        <v/>
      </c>
      <c r="U294" s="10">
        <f>IF(A294="","",IF(COUNT(O294:P294)&lt;2,"待补充",IF(MIN(O294:P294)&lt;0,"检查输入",SUM(O294:P294))))</f>
        <v/>
      </c>
      <c r="V294" s="9">
        <f>IF(A294="","",IF(OR(T294="检查输入",U294="检查输入"),"检查输入",IF(OR(NOT(ISNUMBER(T294)),NOT(ISNUMBER(U294))),"待补充",IF(T294&lt;=0,"不可保本",IFERROR(ROUNDUP(U294/T294,0),"检查输入")))))</f>
        <v/>
      </c>
      <c r="W294" s="10">
        <f>IF(A294="","",IF(OR(NOT(ISNUMBER(T294)),NOT(ISNUMBER(U294)),NOT(ISNUMBER(Q294))),"待补充",IF(OR(Q294&lt;0,Q294&lt;&gt;INT(Q294)),"检查输入",ROUND(Q294*T294-U294,4))))</f>
        <v/>
      </c>
    </row>
    <row r="295" spans="18:23" ht="34" customHeight="1">
      <c r="R295" s="10">
        <f>IF(A295="","",IF(COUNT(G295,L295)&lt;2,"待补充",IF(OR(G295&lt;0,L295&lt;0,L295&gt;1),"检查输入",G295*L295)))</f>
        <v/>
      </c>
      <c r="S295" s="10">
        <f>IF(A295="","",IF(COUNT(M295:N295)&lt;2,"待补充",IF(OR(M295&lt;0,M295&gt;1,N295&lt;0),"检查输入",M295*N295)))</f>
        <v/>
      </c>
      <c r="T295" s="10">
        <f>IF(A295="","",IF(COUNT(F295:N295)&lt;9,"待补充",IF(OR(MIN(F295:N295)&lt;0,L295&gt;1,M295&gt;1),"检查输入",ROUND(F295-SUM(H295:K295)-R295-S295,4))))</f>
        <v/>
      </c>
      <c r="U295" s="10">
        <f>IF(A295="","",IF(COUNT(O295:P295)&lt;2,"待补充",IF(MIN(O295:P295)&lt;0,"检查输入",SUM(O295:P295))))</f>
        <v/>
      </c>
      <c r="V295" s="9">
        <f>IF(A295="","",IF(OR(T295="检查输入",U295="检查输入"),"检查输入",IF(OR(NOT(ISNUMBER(T295)),NOT(ISNUMBER(U295))),"待补充",IF(T295&lt;=0,"不可保本",IFERROR(ROUNDUP(U295/T295,0),"检查输入")))))</f>
        <v/>
      </c>
      <c r="W295" s="10">
        <f>IF(A295="","",IF(OR(NOT(ISNUMBER(T295)),NOT(ISNUMBER(U295)),NOT(ISNUMBER(Q295))),"待补充",IF(OR(Q295&lt;0,Q295&lt;&gt;INT(Q295)),"检查输入",ROUND(Q295*T295-U295,4))))</f>
        <v/>
      </c>
    </row>
    <row r="296" spans="18:23" ht="34" customHeight="1">
      <c r="R296" s="10">
        <f>IF(A296="","",IF(COUNT(G296,L296)&lt;2,"待补充",IF(OR(G296&lt;0,L296&lt;0,L296&gt;1),"检查输入",G296*L296)))</f>
        <v/>
      </c>
      <c r="S296" s="10">
        <f>IF(A296="","",IF(COUNT(M296:N296)&lt;2,"待补充",IF(OR(M296&lt;0,M296&gt;1,N296&lt;0),"检查输入",M296*N296)))</f>
        <v/>
      </c>
      <c r="T296" s="10">
        <f>IF(A296="","",IF(COUNT(F296:N296)&lt;9,"待补充",IF(OR(MIN(F296:N296)&lt;0,L296&gt;1,M296&gt;1),"检查输入",ROUND(F296-SUM(H296:K296)-R296-S296,4))))</f>
        <v/>
      </c>
      <c r="U296" s="10">
        <f>IF(A296="","",IF(COUNT(O296:P296)&lt;2,"待补充",IF(MIN(O296:P296)&lt;0,"检查输入",SUM(O296:P296))))</f>
        <v/>
      </c>
      <c r="V296" s="9">
        <f>IF(A296="","",IF(OR(T296="检查输入",U296="检查输入"),"检查输入",IF(OR(NOT(ISNUMBER(T296)),NOT(ISNUMBER(U296))),"待补充",IF(T296&lt;=0,"不可保本",IFERROR(ROUNDUP(U296/T296,0),"检查输入")))))</f>
        <v/>
      </c>
      <c r="W296" s="10">
        <f>IF(A296="","",IF(OR(NOT(ISNUMBER(T296)),NOT(ISNUMBER(U296)),NOT(ISNUMBER(Q296))),"待补充",IF(OR(Q296&lt;0,Q296&lt;&gt;INT(Q296)),"检查输入",ROUND(Q296*T296-U296,4))))</f>
        <v/>
      </c>
    </row>
    <row r="297" spans="18:23" ht="34" customHeight="1">
      <c r="R297" s="10">
        <f>IF(A297="","",IF(COUNT(G297,L297)&lt;2,"待补充",IF(OR(G297&lt;0,L297&lt;0,L297&gt;1),"检查输入",G297*L297)))</f>
        <v/>
      </c>
      <c r="S297" s="10">
        <f>IF(A297="","",IF(COUNT(M297:N297)&lt;2,"待补充",IF(OR(M297&lt;0,M297&gt;1,N297&lt;0),"检查输入",M297*N297)))</f>
        <v/>
      </c>
      <c r="T297" s="10">
        <f>IF(A297="","",IF(COUNT(F297:N297)&lt;9,"待补充",IF(OR(MIN(F297:N297)&lt;0,L297&gt;1,M297&gt;1),"检查输入",ROUND(F297-SUM(H297:K297)-R297-S297,4))))</f>
        <v/>
      </c>
      <c r="U297" s="10">
        <f>IF(A297="","",IF(COUNT(O297:P297)&lt;2,"待补充",IF(MIN(O297:P297)&lt;0,"检查输入",SUM(O297:P297))))</f>
        <v/>
      </c>
      <c r="V297" s="9">
        <f>IF(A297="","",IF(OR(T297="检查输入",U297="检查输入"),"检查输入",IF(OR(NOT(ISNUMBER(T297)),NOT(ISNUMBER(U297))),"待补充",IF(T297&lt;=0,"不可保本",IFERROR(ROUNDUP(U297/T297,0),"检查输入")))))</f>
        <v/>
      </c>
      <c r="W297" s="10">
        <f>IF(A297="","",IF(OR(NOT(ISNUMBER(T297)),NOT(ISNUMBER(U297)),NOT(ISNUMBER(Q297))),"待补充",IF(OR(Q297&lt;0,Q297&lt;&gt;INT(Q297)),"检查输入",ROUND(Q297*T297-U297,4))))</f>
        <v/>
      </c>
    </row>
    <row r="298" spans="18:23" ht="34" customHeight="1">
      <c r="R298" s="10">
        <f>IF(A298="","",IF(COUNT(G298,L298)&lt;2,"待补充",IF(OR(G298&lt;0,L298&lt;0,L298&gt;1),"检查输入",G298*L298)))</f>
        <v/>
      </c>
      <c r="S298" s="10">
        <f>IF(A298="","",IF(COUNT(M298:N298)&lt;2,"待补充",IF(OR(M298&lt;0,M298&gt;1,N298&lt;0),"检查输入",M298*N298)))</f>
        <v/>
      </c>
      <c r="T298" s="10">
        <f>IF(A298="","",IF(COUNT(F298:N298)&lt;9,"待补充",IF(OR(MIN(F298:N298)&lt;0,L298&gt;1,M298&gt;1),"检查输入",ROUND(F298-SUM(H298:K298)-R298-S298,4))))</f>
        <v/>
      </c>
      <c r="U298" s="10">
        <f>IF(A298="","",IF(COUNT(O298:P298)&lt;2,"待补充",IF(MIN(O298:P298)&lt;0,"检查输入",SUM(O298:P298))))</f>
        <v/>
      </c>
      <c r="V298" s="9">
        <f>IF(A298="","",IF(OR(T298="检查输入",U298="检查输入"),"检查输入",IF(OR(NOT(ISNUMBER(T298)),NOT(ISNUMBER(U298))),"待补充",IF(T298&lt;=0,"不可保本",IFERROR(ROUNDUP(U298/T298,0),"检查输入")))))</f>
        <v/>
      </c>
      <c r="W298" s="10">
        <f>IF(A298="","",IF(OR(NOT(ISNUMBER(T298)),NOT(ISNUMBER(U298)),NOT(ISNUMBER(Q298))),"待补充",IF(OR(Q298&lt;0,Q298&lt;&gt;INT(Q298)),"检查输入",ROUND(Q298*T298-U298,4))))</f>
        <v/>
      </c>
    </row>
    <row r="299" spans="18:23" ht="34" customHeight="1">
      <c r="R299" s="10">
        <f>IF(A299="","",IF(COUNT(G299,L299)&lt;2,"待补充",IF(OR(G299&lt;0,L299&lt;0,L299&gt;1),"检查输入",G299*L299)))</f>
        <v/>
      </c>
      <c r="S299" s="10">
        <f>IF(A299="","",IF(COUNT(M299:N299)&lt;2,"待补充",IF(OR(M299&lt;0,M299&gt;1,N299&lt;0),"检查输入",M299*N299)))</f>
        <v/>
      </c>
      <c r="T299" s="10">
        <f>IF(A299="","",IF(COUNT(F299:N299)&lt;9,"待补充",IF(OR(MIN(F299:N299)&lt;0,L299&gt;1,M299&gt;1),"检查输入",ROUND(F299-SUM(H299:K299)-R299-S299,4))))</f>
        <v/>
      </c>
      <c r="U299" s="10">
        <f>IF(A299="","",IF(COUNT(O299:P299)&lt;2,"待补充",IF(MIN(O299:P299)&lt;0,"检查输入",SUM(O299:P299))))</f>
        <v/>
      </c>
      <c r="V299" s="9">
        <f>IF(A299="","",IF(OR(T299="检查输入",U299="检查输入"),"检查输入",IF(OR(NOT(ISNUMBER(T299)),NOT(ISNUMBER(U299))),"待补充",IF(T299&lt;=0,"不可保本",IFERROR(ROUNDUP(U299/T299,0),"检查输入")))))</f>
        <v/>
      </c>
      <c r="W299" s="10">
        <f>IF(A299="","",IF(OR(NOT(ISNUMBER(T299)),NOT(ISNUMBER(U299)),NOT(ISNUMBER(Q299))),"待补充",IF(OR(Q299&lt;0,Q299&lt;&gt;INT(Q299)),"检查输入",ROUND(Q299*T299-U299,4))))</f>
        <v/>
      </c>
    </row>
    <row r="300" spans="18:23" ht="34" customHeight="1">
      <c r="R300" s="10">
        <f>IF(A300="","",IF(COUNT(G300,L300)&lt;2,"待补充",IF(OR(G300&lt;0,L300&lt;0,L300&gt;1),"检查输入",G300*L300)))</f>
        <v/>
      </c>
      <c r="S300" s="10">
        <f>IF(A300="","",IF(COUNT(M300:N300)&lt;2,"待补充",IF(OR(M300&lt;0,M300&gt;1,N300&lt;0),"检查输入",M300*N300)))</f>
        <v/>
      </c>
      <c r="T300" s="10">
        <f>IF(A300="","",IF(COUNT(F300:N300)&lt;9,"待补充",IF(OR(MIN(F300:N300)&lt;0,L300&gt;1,M300&gt;1),"检查输入",ROUND(F300-SUM(H300:K300)-R300-S300,4))))</f>
        <v/>
      </c>
      <c r="U300" s="10">
        <f>IF(A300="","",IF(COUNT(O300:P300)&lt;2,"待补充",IF(MIN(O300:P300)&lt;0,"检查输入",SUM(O300:P300))))</f>
        <v/>
      </c>
      <c r="V300" s="9">
        <f>IF(A300="","",IF(OR(T300="检查输入",U300="检查输入"),"检查输入",IF(OR(NOT(ISNUMBER(T300)),NOT(ISNUMBER(U300))),"待补充",IF(T300&lt;=0,"不可保本",IFERROR(ROUNDUP(U300/T300,0),"检查输入")))))</f>
        <v/>
      </c>
      <c r="W300" s="10">
        <f>IF(A300="","",IF(OR(NOT(ISNUMBER(T300)),NOT(ISNUMBER(U300)),NOT(ISNUMBER(Q300))),"待补充",IF(OR(Q300&lt;0,Q300&lt;&gt;INT(Q300)),"检查输入",ROUND(Q300*T300-U300,4))))</f>
        <v/>
      </c>
    </row>
    <row r="301" spans="18:23" ht="34" customHeight="1">
      <c r="R301" s="10">
        <f>IF(A301="","",IF(COUNT(G301,L301)&lt;2,"待补充",IF(OR(G301&lt;0,L301&lt;0,L301&gt;1),"检查输入",G301*L301)))</f>
        <v/>
      </c>
      <c r="S301" s="10">
        <f>IF(A301="","",IF(COUNT(M301:N301)&lt;2,"待补充",IF(OR(M301&lt;0,M301&gt;1,N301&lt;0),"检查输入",M301*N301)))</f>
        <v/>
      </c>
      <c r="T301" s="10">
        <f>IF(A301="","",IF(COUNT(F301:N301)&lt;9,"待补充",IF(OR(MIN(F301:N301)&lt;0,L301&gt;1,M301&gt;1),"检查输入",ROUND(F301-SUM(H301:K301)-R301-S301,4))))</f>
        <v/>
      </c>
      <c r="U301" s="10">
        <f>IF(A301="","",IF(COUNT(O301:P301)&lt;2,"待补充",IF(MIN(O301:P301)&lt;0,"检查输入",SUM(O301:P301))))</f>
        <v/>
      </c>
      <c r="V301" s="9">
        <f>IF(A301="","",IF(OR(T301="检查输入",U301="检查输入"),"检查输入",IF(OR(NOT(ISNUMBER(T301)),NOT(ISNUMBER(U301))),"待补充",IF(T301&lt;=0,"不可保本",IFERROR(ROUNDUP(U301/T301,0),"检查输入")))))</f>
        <v/>
      </c>
      <c r="W301" s="10">
        <f>IF(A301="","",IF(OR(NOT(ISNUMBER(T301)),NOT(ISNUMBER(U301)),NOT(ISNUMBER(Q301))),"待补充",IF(OR(Q301&lt;0,Q301&lt;&gt;INT(Q301)),"检查输入",ROUND(Q301*T301-U301,4))))</f>
        <v/>
      </c>
    </row>
  </sheetData>
  <autoFilter ref="A1:AB301"/>
  <conditionalFormatting sqref="A2:AB301">
    <cfRule type="expression" dxfId="0" priority="2">
      <formula>AND($A2&lt;&gt;"",$AA2&lt;&gt;"",$AA2&lt;TODAY())</formula>
    </cfRule>
  </conditionalFormatting>
  <conditionalFormatting sqref="T2:T301">
    <cfRule type="cellIs" dxfId="0" priority="1" operator="lessThanOrEqual">
      <formula>0</formula>
    </cfRule>
  </conditionalFormatting>
  <dataValidations count="15">
    <dataValidation type="decimal" allowBlank="1" showInputMessage="1" showErrorMessage="1" errorTitle="输入范围不正确" error="请填写非负数；确认没有费用时填 0，未知时留空。" sqref="F2:F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G2:G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H2:H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I2:I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J2:J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K2:K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N2:N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O2:O301">
      <formula1>0</formula1>
      <formula2>1000000000</formula2>
    </dataValidation>
    <dataValidation type="decimal" allowBlank="1" showInputMessage="1" showErrorMessage="1" errorTitle="输入范围不正确" error="请填写非负数；确认没有费用时填 0，未知时留空。" sqref="P2:P301">
      <formula1>0</formula1>
      <formula2>1000000000</formula2>
    </dataValidation>
    <dataValidation type="decimal" allowBlank="1" showInputMessage="1" showErrorMessage="1" errorTitle="输入范围不正确" error="百分比请输入 0%–100%。" sqref="L2:L301">
      <formula1>0</formula1>
      <formula2>1</formula2>
    </dataValidation>
    <dataValidation type="decimal" allowBlank="1" showInputMessage="1" showErrorMessage="1" errorTitle="输入范围不正确" error="百分比请输入 0%–100%。" sqref="M2:M301">
      <formula1>0</formula1>
      <formula2>1</formula2>
    </dataValidation>
    <dataValidation type="whole" allowBlank="1" showInputMessage="1" showErrorMessage="1" errorTitle="输入范围不正确" error="请填写非负数；确认没有费用时填 0，未知时留空。" sqref="Q2:Q301">
      <formula1>0</formula1>
      <formula2>1000000000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Z2:Z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AA2:AA301">
      <formula1>36526</formula1>
      <formula2>73415</formula2>
    </dataValidation>
    <dataValidation type="list" allowBlank="1" showInputMessage="1" showErrorMessage="1" errorTitle="请选择有效状态" error="从下拉选项选择；参数字典中维护选项。" sqref="X2:X301">
      <formula1>ApprovalStatus</formula1>
    </dataValidation>
  </dataValidations>
  <pageMargins left="0.7" right="0.7" top="0.75" bottom="0.75" header="0.3" footer="0.3"/>
  <pageSetup fitToHeight="0" orientation="landscape"/>
  <headerFooter>
    <oddFooter>&amp;L达人带货商务 · 空白模板&amp;R第 &amp;P / &amp;N 页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89F8D"/>
    <pageSetUpPr fitToPage="1"/>
  </sheetPr>
  <dimension ref="A1:P5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34" customHeight="1"/>
  <cols>
    <col min="1" max="1" width="14.7109375" style="2" customWidth="1"/>
    <col min="2" max="2" width="22.7109375" style="1" customWidth="1"/>
    <col min="3" max="3" width="19.7109375" style="9" customWidth="1"/>
    <col min="4" max="8" width="18.7109375" style="1" customWidth="1"/>
    <col min="9" max="9" width="26.7109375" style="1" customWidth="1"/>
    <col min="10" max="10" width="32.7109375" style="1" customWidth="1"/>
    <col min="11" max="11" width="30.7109375" style="1" customWidth="1"/>
    <col min="12" max="12" width="18.7109375" style="1" customWidth="1"/>
    <col min="13" max="13" width="50.7109375" style="1" customWidth="1"/>
    <col min="14" max="14" width="18.7109375" style="1" customWidth="1"/>
    <col min="15" max="16" width="14.7109375" style="2" customWidth="1"/>
  </cols>
  <sheetData>
    <row r="1" spans="1:16" ht="48" customHeight="1">
      <c r="A1" s="3" t="s">
        <v>217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  <c r="I1" s="3" t="s">
        <v>225</v>
      </c>
      <c r="J1" s="3" t="s">
        <v>226</v>
      </c>
      <c r="K1" s="3" t="s">
        <v>227</v>
      </c>
      <c r="L1" s="3" t="s">
        <v>228</v>
      </c>
      <c r="M1" s="3" t="s">
        <v>229</v>
      </c>
      <c r="N1" s="3" t="s">
        <v>230</v>
      </c>
      <c r="O1" s="3" t="s">
        <v>231</v>
      </c>
      <c r="P1" s="3" t="s">
        <v>232</v>
      </c>
    </row>
    <row r="2" spans="1:16" ht="34" customHeight="1">
      <c r="C2" s="11">
        <f>IF(A2="","",A2+7)</f>
        <v/>
      </c>
      <c r="D2" s="9">
        <f>IF($A2="","",IF($B2="",COUNTIFS('达人线索与合作'!$A$2:$A$301,"&lt;&gt;",'达人线索与合作'!$U$2:$U$301,"&gt;="&amp;$A2,'达人线索与合作'!$U$2:$U$301,"&lt;"&amp;$C2),COUNTIFS('达人线索与合作'!$A$2:$A$301,"&lt;&gt;",'达人线索与合作'!$U$2:$U$301,"&gt;="&amp;$A2,'达人线索与合作'!$U$2:$U$301,"&lt;"&amp;$C2,'达人线索与合作'!$F$2:$F$301,$B2)))</f>
        <v/>
      </c>
      <c r="E2" s="9">
        <f>IF($A2="","",IF($B2="",COUNTIFS('达人线索与合作'!$A$2:$A$301,"&lt;&gt;",'达人线索与合作'!$AC$2:$AC$301,"&gt;="&amp;$A2,'达人线索与合作'!$AC$2:$AC$301,"&lt;"&amp;$C2),COUNTIFS('达人线索与合作'!$A$2:$A$301,"&lt;&gt;",'达人线索与合作'!$AC$2:$AC$301,"&gt;="&amp;$A2,'达人线索与合作'!$AC$2:$AC$301,"&lt;"&amp;$C2,'达人线索与合作'!$F$2:$F$301,$B2)))</f>
        <v/>
      </c>
      <c r="F2" s="9">
        <f>IF($A2="","",IF($B2="",COUNTIFS('达人线索与合作'!$B$2:$B$301,"&lt;&gt;",'达人线索与合作'!$AD$2:$AD$301,"&gt;="&amp;$A2,'达人线索与合作'!$AD$2:$AD$301,"&lt;"&amp;$C2),COUNTIFS('达人线索与合作'!$B$2:$B$301,"&lt;&gt;",'达人线索与合作'!$AD$2:$AD$301,"&gt;="&amp;$A2,'达人线索与合作'!$AD$2:$AD$301,"&lt;"&amp;$C2,'达人线索与合作'!$F$2:$F$301,$B2)))</f>
        <v/>
      </c>
      <c r="G2" s="9">
        <f>IF($A2="","",IF($B2="",COUNTIFS('寄样履约'!$A$2:$A$301,"&lt;&gt;",'寄样履约'!$H$2:$H$301,"&gt;="&amp;$A2,'寄样履约'!$H$2:$H$301,"&lt;"&amp;$C2),COUNTIFS('寄样履约'!$A$2:$A$301,"&lt;&gt;",'寄样履约'!$H$2:$H$301,"&gt;="&amp;$A2,'寄样履约'!$H$2:$H$301,"&lt;"&amp;$C2,'寄样履约'!$D$2:$D$301,$B2)))</f>
        <v/>
      </c>
      <c r="H2" s="9">
        <f>IF($A2="","",IF($B2="",COUNTIFS('寄样履约'!$A$2:$A$301,"&lt;&gt;",'寄样履约'!$K$2:$K$301,"&gt;="&amp;$A2,'寄样履约'!$K$2:$K$301,"&lt;"&amp;$C2),COUNTIFS('寄样履约'!$A$2:$A$301,"&lt;&gt;",'寄样履约'!$K$2:$K$301,"&gt;="&amp;$A2,'寄样履约'!$K$2:$K$301,"&lt;"&amp;$C2,'寄样履约'!$D$2:$D$301,$B2)))</f>
        <v/>
      </c>
      <c r="I2" s="9">
        <f>IF($A2="","",IF($B2="",SUMIFS('视频与订单复盘'!$AG$2:$AG$301,'视频与订单复盘'!$I$2:$I$301,"&gt;="&amp;$A2,'视频与订单复盘'!$I$2:$I$301,"&lt;"&amp;$C2),SUMIFS('视频与订单复盘'!$AG$2:$AG$301,'视频与订单复盘'!$I$2:$I$301,"&gt;="&amp;$A2,'视频与订单复盘'!$I$2:$I$301,"&lt;"&amp;$C2,'视频与订单复盘'!$H$2:$H$301,$B2)))</f>
        <v/>
      </c>
      <c r="J2" s="10">
        <f>IF($A2="","",IF($B2="",SUMIFS('视频与订单复盘'!$P$2:$P$301,'视频与订单复盘'!$I$2:$I$301,"&gt;="&amp;$A2,'视频与订单复盘'!$I$2:$I$301,"&lt;"&amp;$C2,'视频与订单复盘'!$AF$2:$AF$301,"可汇总"),SUMIFS('视频与订单复盘'!$P$2:$P$301,'视频与订单复盘'!$I$2:$I$301,"&gt;="&amp;$A2,'视频与订单复盘'!$I$2:$I$301,"&lt;"&amp;$C2,'视频与订单复盘'!$AF$2:$AF$301,"可汇总",'视频与订单复盘'!$H$2:$H$301,$B2)))</f>
        <v/>
      </c>
      <c r="K2" s="10">
        <f>IF($A2="","",IF($B2="",SUMIFS('视频与订单复盘'!$Y$2:$Y$301,'视频与订单复盘'!$I$2:$I$301,"&gt;="&amp;$A2,'视频与订单复盘'!$I$2:$I$301,"&lt;"&amp;$C2,'视频与订单复盘'!$AF$2:$AF$301,"可汇总"),SUMIFS('视频与订单复盘'!$Y$2:$Y$301,'视频与订单复盘'!$I$2:$I$301,"&gt;="&amp;$A2,'视频与订单复盘'!$I$2:$I$301,"&lt;"&amp;$C2,'视频与订单复盘'!$AF$2:$AF$301,"可汇总",'视频与订单复盘'!$H$2:$H$301,$B2)))</f>
        <v/>
      </c>
      <c r="L2" s="10">
        <f>IF($A2="","",IF($B2="",SUMIFS('寄样履约'!$R$2:$R$301,'寄样履约'!$A$2:$A$301,"&lt;&gt;",'寄样履约'!$H$2:$H$301,"&gt;="&amp;$A2,'寄样履约'!$H$2:$H$301,"&lt;"&amp;$C2),SUMIFS('寄样履约'!$R$2:$R$301,'寄样履约'!$A$2:$A$301,"&lt;&gt;",'寄样履约'!$H$2:$H$301,"&gt;="&amp;$A2,'寄样履约'!$H$2:$H$301,"&lt;"&amp;$C2,'寄样履约'!$D$2:$D$301,$B2)))</f>
        <v/>
      </c>
    </row>
    <row r="3" spans="1:16" ht="34" customHeight="1">
      <c r="C3" s="11">
        <f>IF(A3="","",A3+7)</f>
        <v/>
      </c>
      <c r="D3" s="9">
        <f>IF($A3="","",IF($B3="",COUNTIFS('达人线索与合作'!$A$2:$A$301,"&lt;&gt;",'达人线索与合作'!$U$2:$U$301,"&gt;="&amp;$A3,'达人线索与合作'!$U$2:$U$301,"&lt;"&amp;$C3),COUNTIFS('达人线索与合作'!$A$2:$A$301,"&lt;&gt;",'达人线索与合作'!$U$2:$U$301,"&gt;="&amp;$A3,'达人线索与合作'!$U$2:$U$301,"&lt;"&amp;$C3,'达人线索与合作'!$F$2:$F$301,$B3)))</f>
        <v/>
      </c>
      <c r="E3" s="9">
        <f>IF($A3="","",IF($B3="",COUNTIFS('达人线索与合作'!$A$2:$A$301,"&lt;&gt;",'达人线索与合作'!$AC$2:$AC$301,"&gt;="&amp;$A3,'达人线索与合作'!$AC$2:$AC$301,"&lt;"&amp;$C3),COUNTIFS('达人线索与合作'!$A$2:$A$301,"&lt;&gt;",'达人线索与合作'!$AC$2:$AC$301,"&gt;="&amp;$A3,'达人线索与合作'!$AC$2:$AC$301,"&lt;"&amp;$C3,'达人线索与合作'!$F$2:$F$301,$B3)))</f>
        <v/>
      </c>
      <c r="F3" s="9">
        <f>IF($A3="","",IF($B3="",COUNTIFS('达人线索与合作'!$B$2:$B$301,"&lt;&gt;",'达人线索与合作'!$AD$2:$AD$301,"&gt;="&amp;$A3,'达人线索与合作'!$AD$2:$AD$301,"&lt;"&amp;$C3),COUNTIFS('达人线索与合作'!$B$2:$B$301,"&lt;&gt;",'达人线索与合作'!$AD$2:$AD$301,"&gt;="&amp;$A3,'达人线索与合作'!$AD$2:$AD$301,"&lt;"&amp;$C3,'达人线索与合作'!$F$2:$F$301,$B3)))</f>
        <v/>
      </c>
      <c r="G3" s="9">
        <f>IF($A3="","",IF($B3="",COUNTIFS('寄样履约'!$A$2:$A$301,"&lt;&gt;",'寄样履约'!$H$2:$H$301,"&gt;="&amp;$A3,'寄样履约'!$H$2:$H$301,"&lt;"&amp;$C3),COUNTIFS('寄样履约'!$A$2:$A$301,"&lt;&gt;",'寄样履约'!$H$2:$H$301,"&gt;="&amp;$A3,'寄样履约'!$H$2:$H$301,"&lt;"&amp;$C3,'寄样履约'!$D$2:$D$301,$B3)))</f>
        <v/>
      </c>
      <c r="H3" s="9">
        <f>IF($A3="","",IF($B3="",COUNTIFS('寄样履约'!$A$2:$A$301,"&lt;&gt;",'寄样履约'!$K$2:$K$301,"&gt;="&amp;$A3,'寄样履约'!$K$2:$K$301,"&lt;"&amp;$C3),COUNTIFS('寄样履约'!$A$2:$A$301,"&lt;&gt;",'寄样履约'!$K$2:$K$301,"&gt;="&amp;$A3,'寄样履约'!$K$2:$K$301,"&lt;"&amp;$C3,'寄样履约'!$D$2:$D$301,$B3)))</f>
        <v/>
      </c>
      <c r="I3" s="9">
        <f>IF($A3="","",IF($B3="",SUMIFS('视频与订单复盘'!$AG$2:$AG$301,'视频与订单复盘'!$I$2:$I$301,"&gt;="&amp;$A3,'视频与订单复盘'!$I$2:$I$301,"&lt;"&amp;$C3),SUMIFS('视频与订单复盘'!$AG$2:$AG$301,'视频与订单复盘'!$I$2:$I$301,"&gt;="&amp;$A3,'视频与订单复盘'!$I$2:$I$301,"&lt;"&amp;$C3,'视频与订单复盘'!$H$2:$H$301,$B3)))</f>
        <v/>
      </c>
      <c r="J3" s="10">
        <f>IF($A3="","",IF($B3="",SUMIFS('视频与订单复盘'!$P$2:$P$301,'视频与订单复盘'!$I$2:$I$301,"&gt;="&amp;$A3,'视频与订单复盘'!$I$2:$I$301,"&lt;"&amp;$C3,'视频与订单复盘'!$AF$2:$AF$301,"可汇总"),SUMIFS('视频与订单复盘'!$P$2:$P$301,'视频与订单复盘'!$I$2:$I$301,"&gt;="&amp;$A3,'视频与订单复盘'!$I$2:$I$301,"&lt;"&amp;$C3,'视频与订单复盘'!$AF$2:$AF$301,"可汇总",'视频与订单复盘'!$H$2:$H$301,$B3)))</f>
        <v/>
      </c>
      <c r="K3" s="10">
        <f>IF($A3="","",IF($B3="",SUMIFS('视频与订单复盘'!$Y$2:$Y$301,'视频与订单复盘'!$I$2:$I$301,"&gt;="&amp;$A3,'视频与订单复盘'!$I$2:$I$301,"&lt;"&amp;$C3,'视频与订单复盘'!$AF$2:$AF$301,"可汇总"),SUMIFS('视频与订单复盘'!$Y$2:$Y$301,'视频与订单复盘'!$I$2:$I$301,"&gt;="&amp;$A3,'视频与订单复盘'!$I$2:$I$301,"&lt;"&amp;$C3,'视频与订单复盘'!$AF$2:$AF$301,"可汇总",'视频与订单复盘'!$H$2:$H$301,$B3)))</f>
        <v/>
      </c>
      <c r="L3" s="10">
        <f>IF($A3="","",IF($B3="",SUMIFS('寄样履约'!$R$2:$R$301,'寄样履约'!$A$2:$A$301,"&lt;&gt;",'寄样履约'!$H$2:$H$301,"&gt;="&amp;$A3,'寄样履约'!$H$2:$H$301,"&lt;"&amp;$C3),SUMIFS('寄样履约'!$R$2:$R$301,'寄样履约'!$A$2:$A$301,"&lt;&gt;",'寄样履约'!$H$2:$H$301,"&gt;="&amp;$A3,'寄样履约'!$H$2:$H$301,"&lt;"&amp;$C3,'寄样履约'!$D$2:$D$301,$B3)))</f>
        <v/>
      </c>
    </row>
    <row r="4" spans="1:16" ht="34" customHeight="1">
      <c r="C4" s="11">
        <f>IF(A4="","",A4+7)</f>
        <v/>
      </c>
      <c r="D4" s="9">
        <f>IF($A4="","",IF($B4="",COUNTIFS('达人线索与合作'!$A$2:$A$301,"&lt;&gt;",'达人线索与合作'!$U$2:$U$301,"&gt;="&amp;$A4,'达人线索与合作'!$U$2:$U$301,"&lt;"&amp;$C4),COUNTIFS('达人线索与合作'!$A$2:$A$301,"&lt;&gt;",'达人线索与合作'!$U$2:$U$301,"&gt;="&amp;$A4,'达人线索与合作'!$U$2:$U$301,"&lt;"&amp;$C4,'达人线索与合作'!$F$2:$F$301,$B4)))</f>
        <v/>
      </c>
      <c r="E4" s="9">
        <f>IF($A4="","",IF($B4="",COUNTIFS('达人线索与合作'!$A$2:$A$301,"&lt;&gt;",'达人线索与合作'!$AC$2:$AC$301,"&gt;="&amp;$A4,'达人线索与合作'!$AC$2:$AC$301,"&lt;"&amp;$C4),COUNTIFS('达人线索与合作'!$A$2:$A$301,"&lt;&gt;",'达人线索与合作'!$AC$2:$AC$301,"&gt;="&amp;$A4,'达人线索与合作'!$AC$2:$AC$301,"&lt;"&amp;$C4,'达人线索与合作'!$F$2:$F$301,$B4)))</f>
        <v/>
      </c>
      <c r="F4" s="9">
        <f>IF($A4="","",IF($B4="",COUNTIFS('达人线索与合作'!$B$2:$B$301,"&lt;&gt;",'达人线索与合作'!$AD$2:$AD$301,"&gt;="&amp;$A4,'达人线索与合作'!$AD$2:$AD$301,"&lt;"&amp;$C4),COUNTIFS('达人线索与合作'!$B$2:$B$301,"&lt;&gt;",'达人线索与合作'!$AD$2:$AD$301,"&gt;="&amp;$A4,'达人线索与合作'!$AD$2:$AD$301,"&lt;"&amp;$C4,'达人线索与合作'!$F$2:$F$301,$B4)))</f>
        <v/>
      </c>
      <c r="G4" s="9">
        <f>IF($A4="","",IF($B4="",COUNTIFS('寄样履约'!$A$2:$A$301,"&lt;&gt;",'寄样履约'!$H$2:$H$301,"&gt;="&amp;$A4,'寄样履约'!$H$2:$H$301,"&lt;"&amp;$C4),COUNTIFS('寄样履约'!$A$2:$A$301,"&lt;&gt;",'寄样履约'!$H$2:$H$301,"&gt;="&amp;$A4,'寄样履约'!$H$2:$H$301,"&lt;"&amp;$C4,'寄样履约'!$D$2:$D$301,$B4)))</f>
        <v/>
      </c>
      <c r="H4" s="9">
        <f>IF($A4="","",IF($B4="",COUNTIFS('寄样履约'!$A$2:$A$301,"&lt;&gt;",'寄样履约'!$K$2:$K$301,"&gt;="&amp;$A4,'寄样履约'!$K$2:$K$301,"&lt;"&amp;$C4),COUNTIFS('寄样履约'!$A$2:$A$301,"&lt;&gt;",'寄样履约'!$K$2:$K$301,"&gt;="&amp;$A4,'寄样履约'!$K$2:$K$301,"&lt;"&amp;$C4,'寄样履约'!$D$2:$D$301,$B4)))</f>
        <v/>
      </c>
      <c r="I4" s="9">
        <f>IF($A4="","",IF($B4="",SUMIFS('视频与订单复盘'!$AG$2:$AG$301,'视频与订单复盘'!$I$2:$I$301,"&gt;="&amp;$A4,'视频与订单复盘'!$I$2:$I$301,"&lt;"&amp;$C4),SUMIFS('视频与订单复盘'!$AG$2:$AG$301,'视频与订单复盘'!$I$2:$I$301,"&gt;="&amp;$A4,'视频与订单复盘'!$I$2:$I$301,"&lt;"&amp;$C4,'视频与订单复盘'!$H$2:$H$301,$B4)))</f>
        <v/>
      </c>
      <c r="J4" s="10">
        <f>IF($A4="","",IF($B4="",SUMIFS('视频与订单复盘'!$P$2:$P$301,'视频与订单复盘'!$I$2:$I$301,"&gt;="&amp;$A4,'视频与订单复盘'!$I$2:$I$301,"&lt;"&amp;$C4,'视频与订单复盘'!$AF$2:$AF$301,"可汇总"),SUMIFS('视频与订单复盘'!$P$2:$P$301,'视频与订单复盘'!$I$2:$I$301,"&gt;="&amp;$A4,'视频与订单复盘'!$I$2:$I$301,"&lt;"&amp;$C4,'视频与订单复盘'!$AF$2:$AF$301,"可汇总",'视频与订单复盘'!$H$2:$H$301,$B4)))</f>
        <v/>
      </c>
      <c r="K4" s="10">
        <f>IF($A4="","",IF($B4="",SUMIFS('视频与订单复盘'!$Y$2:$Y$301,'视频与订单复盘'!$I$2:$I$301,"&gt;="&amp;$A4,'视频与订单复盘'!$I$2:$I$301,"&lt;"&amp;$C4,'视频与订单复盘'!$AF$2:$AF$301,"可汇总"),SUMIFS('视频与订单复盘'!$Y$2:$Y$301,'视频与订单复盘'!$I$2:$I$301,"&gt;="&amp;$A4,'视频与订单复盘'!$I$2:$I$301,"&lt;"&amp;$C4,'视频与订单复盘'!$AF$2:$AF$301,"可汇总",'视频与订单复盘'!$H$2:$H$301,$B4)))</f>
        <v/>
      </c>
      <c r="L4" s="10">
        <f>IF($A4="","",IF($B4="",SUMIFS('寄样履约'!$R$2:$R$301,'寄样履约'!$A$2:$A$301,"&lt;&gt;",'寄样履约'!$H$2:$H$301,"&gt;="&amp;$A4,'寄样履约'!$H$2:$H$301,"&lt;"&amp;$C4),SUMIFS('寄样履约'!$R$2:$R$301,'寄样履约'!$A$2:$A$301,"&lt;&gt;",'寄样履约'!$H$2:$H$301,"&gt;="&amp;$A4,'寄样履约'!$H$2:$H$301,"&lt;"&amp;$C4,'寄样履约'!$D$2:$D$301,$B4)))</f>
        <v/>
      </c>
    </row>
    <row r="5" spans="1:16" ht="34" customHeight="1">
      <c r="C5" s="11">
        <f>IF(A5="","",A5+7)</f>
        <v/>
      </c>
      <c r="D5" s="9">
        <f>IF($A5="","",IF($B5="",COUNTIFS('达人线索与合作'!$A$2:$A$301,"&lt;&gt;",'达人线索与合作'!$U$2:$U$301,"&gt;="&amp;$A5,'达人线索与合作'!$U$2:$U$301,"&lt;"&amp;$C5),COUNTIFS('达人线索与合作'!$A$2:$A$301,"&lt;&gt;",'达人线索与合作'!$U$2:$U$301,"&gt;="&amp;$A5,'达人线索与合作'!$U$2:$U$301,"&lt;"&amp;$C5,'达人线索与合作'!$F$2:$F$301,$B5)))</f>
        <v/>
      </c>
      <c r="E5" s="9">
        <f>IF($A5="","",IF($B5="",COUNTIFS('达人线索与合作'!$A$2:$A$301,"&lt;&gt;",'达人线索与合作'!$AC$2:$AC$301,"&gt;="&amp;$A5,'达人线索与合作'!$AC$2:$AC$301,"&lt;"&amp;$C5),COUNTIFS('达人线索与合作'!$A$2:$A$301,"&lt;&gt;",'达人线索与合作'!$AC$2:$AC$301,"&gt;="&amp;$A5,'达人线索与合作'!$AC$2:$AC$301,"&lt;"&amp;$C5,'达人线索与合作'!$F$2:$F$301,$B5)))</f>
        <v/>
      </c>
      <c r="F5" s="9">
        <f>IF($A5="","",IF($B5="",COUNTIFS('达人线索与合作'!$B$2:$B$301,"&lt;&gt;",'达人线索与合作'!$AD$2:$AD$301,"&gt;="&amp;$A5,'达人线索与合作'!$AD$2:$AD$301,"&lt;"&amp;$C5),COUNTIFS('达人线索与合作'!$B$2:$B$301,"&lt;&gt;",'达人线索与合作'!$AD$2:$AD$301,"&gt;="&amp;$A5,'达人线索与合作'!$AD$2:$AD$301,"&lt;"&amp;$C5,'达人线索与合作'!$F$2:$F$301,$B5)))</f>
        <v/>
      </c>
      <c r="G5" s="9">
        <f>IF($A5="","",IF($B5="",COUNTIFS('寄样履约'!$A$2:$A$301,"&lt;&gt;",'寄样履约'!$H$2:$H$301,"&gt;="&amp;$A5,'寄样履约'!$H$2:$H$301,"&lt;"&amp;$C5),COUNTIFS('寄样履约'!$A$2:$A$301,"&lt;&gt;",'寄样履约'!$H$2:$H$301,"&gt;="&amp;$A5,'寄样履约'!$H$2:$H$301,"&lt;"&amp;$C5,'寄样履约'!$D$2:$D$301,$B5)))</f>
        <v/>
      </c>
      <c r="H5" s="9">
        <f>IF($A5="","",IF($B5="",COUNTIFS('寄样履约'!$A$2:$A$301,"&lt;&gt;",'寄样履约'!$K$2:$K$301,"&gt;="&amp;$A5,'寄样履约'!$K$2:$K$301,"&lt;"&amp;$C5),COUNTIFS('寄样履约'!$A$2:$A$301,"&lt;&gt;",'寄样履约'!$K$2:$K$301,"&gt;="&amp;$A5,'寄样履约'!$K$2:$K$301,"&lt;"&amp;$C5,'寄样履约'!$D$2:$D$301,$B5)))</f>
        <v/>
      </c>
      <c r="I5" s="9">
        <f>IF($A5="","",IF($B5="",SUMIFS('视频与订单复盘'!$AG$2:$AG$301,'视频与订单复盘'!$I$2:$I$301,"&gt;="&amp;$A5,'视频与订单复盘'!$I$2:$I$301,"&lt;"&amp;$C5),SUMIFS('视频与订单复盘'!$AG$2:$AG$301,'视频与订单复盘'!$I$2:$I$301,"&gt;="&amp;$A5,'视频与订单复盘'!$I$2:$I$301,"&lt;"&amp;$C5,'视频与订单复盘'!$H$2:$H$301,$B5)))</f>
        <v/>
      </c>
      <c r="J5" s="10">
        <f>IF($A5="","",IF($B5="",SUMIFS('视频与订单复盘'!$P$2:$P$301,'视频与订单复盘'!$I$2:$I$301,"&gt;="&amp;$A5,'视频与订单复盘'!$I$2:$I$301,"&lt;"&amp;$C5,'视频与订单复盘'!$AF$2:$AF$301,"可汇总"),SUMIFS('视频与订单复盘'!$P$2:$P$301,'视频与订单复盘'!$I$2:$I$301,"&gt;="&amp;$A5,'视频与订单复盘'!$I$2:$I$301,"&lt;"&amp;$C5,'视频与订单复盘'!$AF$2:$AF$301,"可汇总",'视频与订单复盘'!$H$2:$H$301,$B5)))</f>
        <v/>
      </c>
      <c r="K5" s="10">
        <f>IF($A5="","",IF($B5="",SUMIFS('视频与订单复盘'!$Y$2:$Y$301,'视频与订单复盘'!$I$2:$I$301,"&gt;="&amp;$A5,'视频与订单复盘'!$I$2:$I$301,"&lt;"&amp;$C5,'视频与订单复盘'!$AF$2:$AF$301,"可汇总"),SUMIFS('视频与订单复盘'!$Y$2:$Y$301,'视频与订单复盘'!$I$2:$I$301,"&gt;="&amp;$A5,'视频与订单复盘'!$I$2:$I$301,"&lt;"&amp;$C5,'视频与订单复盘'!$AF$2:$AF$301,"可汇总",'视频与订单复盘'!$H$2:$H$301,$B5)))</f>
        <v/>
      </c>
      <c r="L5" s="10">
        <f>IF($A5="","",IF($B5="",SUMIFS('寄样履约'!$R$2:$R$301,'寄样履约'!$A$2:$A$301,"&lt;&gt;",'寄样履约'!$H$2:$H$301,"&gt;="&amp;$A5,'寄样履约'!$H$2:$H$301,"&lt;"&amp;$C5),SUMIFS('寄样履约'!$R$2:$R$301,'寄样履约'!$A$2:$A$301,"&lt;&gt;",'寄样履约'!$H$2:$H$301,"&gt;="&amp;$A5,'寄样履约'!$H$2:$H$301,"&lt;"&amp;$C5,'寄样履约'!$D$2:$D$301,$B5)))</f>
        <v/>
      </c>
    </row>
    <row r="6" spans="1:16" ht="34" customHeight="1">
      <c r="C6" s="11">
        <f>IF(A6="","",A6+7)</f>
        <v/>
      </c>
      <c r="D6" s="9">
        <f>IF($A6="","",IF($B6="",COUNTIFS('达人线索与合作'!$A$2:$A$301,"&lt;&gt;",'达人线索与合作'!$U$2:$U$301,"&gt;="&amp;$A6,'达人线索与合作'!$U$2:$U$301,"&lt;"&amp;$C6),COUNTIFS('达人线索与合作'!$A$2:$A$301,"&lt;&gt;",'达人线索与合作'!$U$2:$U$301,"&gt;="&amp;$A6,'达人线索与合作'!$U$2:$U$301,"&lt;"&amp;$C6,'达人线索与合作'!$F$2:$F$301,$B6)))</f>
        <v/>
      </c>
      <c r="E6" s="9">
        <f>IF($A6="","",IF($B6="",COUNTIFS('达人线索与合作'!$A$2:$A$301,"&lt;&gt;",'达人线索与合作'!$AC$2:$AC$301,"&gt;="&amp;$A6,'达人线索与合作'!$AC$2:$AC$301,"&lt;"&amp;$C6),COUNTIFS('达人线索与合作'!$A$2:$A$301,"&lt;&gt;",'达人线索与合作'!$AC$2:$AC$301,"&gt;="&amp;$A6,'达人线索与合作'!$AC$2:$AC$301,"&lt;"&amp;$C6,'达人线索与合作'!$F$2:$F$301,$B6)))</f>
        <v/>
      </c>
      <c r="F6" s="9">
        <f>IF($A6="","",IF($B6="",COUNTIFS('达人线索与合作'!$B$2:$B$301,"&lt;&gt;",'达人线索与合作'!$AD$2:$AD$301,"&gt;="&amp;$A6,'达人线索与合作'!$AD$2:$AD$301,"&lt;"&amp;$C6),COUNTIFS('达人线索与合作'!$B$2:$B$301,"&lt;&gt;",'达人线索与合作'!$AD$2:$AD$301,"&gt;="&amp;$A6,'达人线索与合作'!$AD$2:$AD$301,"&lt;"&amp;$C6,'达人线索与合作'!$F$2:$F$301,$B6)))</f>
        <v/>
      </c>
      <c r="G6" s="9">
        <f>IF($A6="","",IF($B6="",COUNTIFS('寄样履约'!$A$2:$A$301,"&lt;&gt;",'寄样履约'!$H$2:$H$301,"&gt;="&amp;$A6,'寄样履约'!$H$2:$H$301,"&lt;"&amp;$C6),COUNTIFS('寄样履约'!$A$2:$A$301,"&lt;&gt;",'寄样履约'!$H$2:$H$301,"&gt;="&amp;$A6,'寄样履约'!$H$2:$H$301,"&lt;"&amp;$C6,'寄样履约'!$D$2:$D$301,$B6)))</f>
        <v/>
      </c>
      <c r="H6" s="9">
        <f>IF($A6="","",IF($B6="",COUNTIFS('寄样履约'!$A$2:$A$301,"&lt;&gt;",'寄样履约'!$K$2:$K$301,"&gt;="&amp;$A6,'寄样履约'!$K$2:$K$301,"&lt;"&amp;$C6),COUNTIFS('寄样履约'!$A$2:$A$301,"&lt;&gt;",'寄样履约'!$K$2:$K$301,"&gt;="&amp;$A6,'寄样履约'!$K$2:$K$301,"&lt;"&amp;$C6,'寄样履约'!$D$2:$D$301,$B6)))</f>
        <v/>
      </c>
      <c r="I6" s="9">
        <f>IF($A6="","",IF($B6="",SUMIFS('视频与订单复盘'!$AG$2:$AG$301,'视频与订单复盘'!$I$2:$I$301,"&gt;="&amp;$A6,'视频与订单复盘'!$I$2:$I$301,"&lt;"&amp;$C6),SUMIFS('视频与订单复盘'!$AG$2:$AG$301,'视频与订单复盘'!$I$2:$I$301,"&gt;="&amp;$A6,'视频与订单复盘'!$I$2:$I$301,"&lt;"&amp;$C6,'视频与订单复盘'!$H$2:$H$301,$B6)))</f>
        <v/>
      </c>
      <c r="J6" s="10">
        <f>IF($A6="","",IF($B6="",SUMIFS('视频与订单复盘'!$P$2:$P$301,'视频与订单复盘'!$I$2:$I$301,"&gt;="&amp;$A6,'视频与订单复盘'!$I$2:$I$301,"&lt;"&amp;$C6,'视频与订单复盘'!$AF$2:$AF$301,"可汇总"),SUMIFS('视频与订单复盘'!$P$2:$P$301,'视频与订单复盘'!$I$2:$I$301,"&gt;="&amp;$A6,'视频与订单复盘'!$I$2:$I$301,"&lt;"&amp;$C6,'视频与订单复盘'!$AF$2:$AF$301,"可汇总",'视频与订单复盘'!$H$2:$H$301,$B6)))</f>
        <v/>
      </c>
      <c r="K6" s="10">
        <f>IF($A6="","",IF($B6="",SUMIFS('视频与订单复盘'!$Y$2:$Y$301,'视频与订单复盘'!$I$2:$I$301,"&gt;="&amp;$A6,'视频与订单复盘'!$I$2:$I$301,"&lt;"&amp;$C6,'视频与订单复盘'!$AF$2:$AF$301,"可汇总"),SUMIFS('视频与订单复盘'!$Y$2:$Y$301,'视频与订单复盘'!$I$2:$I$301,"&gt;="&amp;$A6,'视频与订单复盘'!$I$2:$I$301,"&lt;"&amp;$C6,'视频与订单复盘'!$AF$2:$AF$301,"可汇总",'视频与订单复盘'!$H$2:$H$301,$B6)))</f>
        <v/>
      </c>
      <c r="L6" s="10">
        <f>IF($A6="","",IF($B6="",SUMIFS('寄样履约'!$R$2:$R$301,'寄样履约'!$A$2:$A$301,"&lt;&gt;",'寄样履约'!$H$2:$H$301,"&gt;="&amp;$A6,'寄样履约'!$H$2:$H$301,"&lt;"&amp;$C6),SUMIFS('寄样履约'!$R$2:$R$301,'寄样履约'!$A$2:$A$301,"&lt;&gt;",'寄样履约'!$H$2:$H$301,"&gt;="&amp;$A6,'寄样履约'!$H$2:$H$301,"&lt;"&amp;$C6,'寄样履约'!$D$2:$D$301,$B6)))</f>
        <v/>
      </c>
    </row>
    <row r="7" spans="1:16" ht="34" customHeight="1">
      <c r="C7" s="11">
        <f>IF(A7="","",A7+7)</f>
        <v/>
      </c>
      <c r="D7" s="9">
        <f>IF($A7="","",IF($B7="",COUNTIFS('达人线索与合作'!$A$2:$A$301,"&lt;&gt;",'达人线索与合作'!$U$2:$U$301,"&gt;="&amp;$A7,'达人线索与合作'!$U$2:$U$301,"&lt;"&amp;$C7),COUNTIFS('达人线索与合作'!$A$2:$A$301,"&lt;&gt;",'达人线索与合作'!$U$2:$U$301,"&gt;="&amp;$A7,'达人线索与合作'!$U$2:$U$301,"&lt;"&amp;$C7,'达人线索与合作'!$F$2:$F$301,$B7)))</f>
        <v/>
      </c>
      <c r="E7" s="9">
        <f>IF($A7="","",IF($B7="",COUNTIFS('达人线索与合作'!$A$2:$A$301,"&lt;&gt;",'达人线索与合作'!$AC$2:$AC$301,"&gt;="&amp;$A7,'达人线索与合作'!$AC$2:$AC$301,"&lt;"&amp;$C7),COUNTIFS('达人线索与合作'!$A$2:$A$301,"&lt;&gt;",'达人线索与合作'!$AC$2:$AC$301,"&gt;="&amp;$A7,'达人线索与合作'!$AC$2:$AC$301,"&lt;"&amp;$C7,'达人线索与合作'!$F$2:$F$301,$B7)))</f>
        <v/>
      </c>
      <c r="F7" s="9">
        <f>IF($A7="","",IF($B7="",COUNTIFS('达人线索与合作'!$B$2:$B$301,"&lt;&gt;",'达人线索与合作'!$AD$2:$AD$301,"&gt;="&amp;$A7,'达人线索与合作'!$AD$2:$AD$301,"&lt;"&amp;$C7),COUNTIFS('达人线索与合作'!$B$2:$B$301,"&lt;&gt;",'达人线索与合作'!$AD$2:$AD$301,"&gt;="&amp;$A7,'达人线索与合作'!$AD$2:$AD$301,"&lt;"&amp;$C7,'达人线索与合作'!$F$2:$F$301,$B7)))</f>
        <v/>
      </c>
      <c r="G7" s="9">
        <f>IF($A7="","",IF($B7="",COUNTIFS('寄样履约'!$A$2:$A$301,"&lt;&gt;",'寄样履约'!$H$2:$H$301,"&gt;="&amp;$A7,'寄样履约'!$H$2:$H$301,"&lt;"&amp;$C7),COUNTIFS('寄样履约'!$A$2:$A$301,"&lt;&gt;",'寄样履约'!$H$2:$H$301,"&gt;="&amp;$A7,'寄样履约'!$H$2:$H$301,"&lt;"&amp;$C7,'寄样履约'!$D$2:$D$301,$B7)))</f>
        <v/>
      </c>
      <c r="H7" s="9">
        <f>IF($A7="","",IF($B7="",COUNTIFS('寄样履约'!$A$2:$A$301,"&lt;&gt;",'寄样履约'!$K$2:$K$301,"&gt;="&amp;$A7,'寄样履约'!$K$2:$K$301,"&lt;"&amp;$C7),COUNTIFS('寄样履约'!$A$2:$A$301,"&lt;&gt;",'寄样履约'!$K$2:$K$301,"&gt;="&amp;$A7,'寄样履约'!$K$2:$K$301,"&lt;"&amp;$C7,'寄样履约'!$D$2:$D$301,$B7)))</f>
        <v/>
      </c>
      <c r="I7" s="9">
        <f>IF($A7="","",IF($B7="",SUMIFS('视频与订单复盘'!$AG$2:$AG$301,'视频与订单复盘'!$I$2:$I$301,"&gt;="&amp;$A7,'视频与订单复盘'!$I$2:$I$301,"&lt;"&amp;$C7),SUMIFS('视频与订单复盘'!$AG$2:$AG$301,'视频与订单复盘'!$I$2:$I$301,"&gt;="&amp;$A7,'视频与订单复盘'!$I$2:$I$301,"&lt;"&amp;$C7,'视频与订单复盘'!$H$2:$H$301,$B7)))</f>
        <v/>
      </c>
      <c r="J7" s="10">
        <f>IF($A7="","",IF($B7="",SUMIFS('视频与订单复盘'!$P$2:$P$301,'视频与订单复盘'!$I$2:$I$301,"&gt;="&amp;$A7,'视频与订单复盘'!$I$2:$I$301,"&lt;"&amp;$C7,'视频与订单复盘'!$AF$2:$AF$301,"可汇总"),SUMIFS('视频与订单复盘'!$P$2:$P$301,'视频与订单复盘'!$I$2:$I$301,"&gt;="&amp;$A7,'视频与订单复盘'!$I$2:$I$301,"&lt;"&amp;$C7,'视频与订单复盘'!$AF$2:$AF$301,"可汇总",'视频与订单复盘'!$H$2:$H$301,$B7)))</f>
        <v/>
      </c>
      <c r="K7" s="10">
        <f>IF($A7="","",IF($B7="",SUMIFS('视频与订单复盘'!$Y$2:$Y$301,'视频与订单复盘'!$I$2:$I$301,"&gt;="&amp;$A7,'视频与订单复盘'!$I$2:$I$301,"&lt;"&amp;$C7,'视频与订单复盘'!$AF$2:$AF$301,"可汇总"),SUMIFS('视频与订单复盘'!$Y$2:$Y$301,'视频与订单复盘'!$I$2:$I$301,"&gt;="&amp;$A7,'视频与订单复盘'!$I$2:$I$301,"&lt;"&amp;$C7,'视频与订单复盘'!$AF$2:$AF$301,"可汇总",'视频与订单复盘'!$H$2:$H$301,$B7)))</f>
        <v/>
      </c>
      <c r="L7" s="10">
        <f>IF($A7="","",IF($B7="",SUMIFS('寄样履约'!$R$2:$R$301,'寄样履约'!$A$2:$A$301,"&lt;&gt;",'寄样履约'!$H$2:$H$301,"&gt;="&amp;$A7,'寄样履约'!$H$2:$H$301,"&lt;"&amp;$C7),SUMIFS('寄样履约'!$R$2:$R$301,'寄样履约'!$A$2:$A$301,"&lt;&gt;",'寄样履约'!$H$2:$H$301,"&gt;="&amp;$A7,'寄样履约'!$H$2:$H$301,"&lt;"&amp;$C7,'寄样履约'!$D$2:$D$301,$B7)))</f>
        <v/>
      </c>
    </row>
    <row r="8" spans="1:16" ht="34" customHeight="1">
      <c r="C8" s="11">
        <f>IF(A8="","",A8+7)</f>
        <v/>
      </c>
      <c r="D8" s="9">
        <f>IF($A8="","",IF($B8="",COUNTIFS('达人线索与合作'!$A$2:$A$301,"&lt;&gt;",'达人线索与合作'!$U$2:$U$301,"&gt;="&amp;$A8,'达人线索与合作'!$U$2:$U$301,"&lt;"&amp;$C8),COUNTIFS('达人线索与合作'!$A$2:$A$301,"&lt;&gt;",'达人线索与合作'!$U$2:$U$301,"&gt;="&amp;$A8,'达人线索与合作'!$U$2:$U$301,"&lt;"&amp;$C8,'达人线索与合作'!$F$2:$F$301,$B8)))</f>
        <v/>
      </c>
      <c r="E8" s="9">
        <f>IF($A8="","",IF($B8="",COUNTIFS('达人线索与合作'!$A$2:$A$301,"&lt;&gt;",'达人线索与合作'!$AC$2:$AC$301,"&gt;="&amp;$A8,'达人线索与合作'!$AC$2:$AC$301,"&lt;"&amp;$C8),COUNTIFS('达人线索与合作'!$A$2:$A$301,"&lt;&gt;",'达人线索与合作'!$AC$2:$AC$301,"&gt;="&amp;$A8,'达人线索与合作'!$AC$2:$AC$301,"&lt;"&amp;$C8,'达人线索与合作'!$F$2:$F$301,$B8)))</f>
        <v/>
      </c>
      <c r="F8" s="9">
        <f>IF($A8="","",IF($B8="",COUNTIFS('达人线索与合作'!$B$2:$B$301,"&lt;&gt;",'达人线索与合作'!$AD$2:$AD$301,"&gt;="&amp;$A8,'达人线索与合作'!$AD$2:$AD$301,"&lt;"&amp;$C8),COUNTIFS('达人线索与合作'!$B$2:$B$301,"&lt;&gt;",'达人线索与合作'!$AD$2:$AD$301,"&gt;="&amp;$A8,'达人线索与合作'!$AD$2:$AD$301,"&lt;"&amp;$C8,'达人线索与合作'!$F$2:$F$301,$B8)))</f>
        <v/>
      </c>
      <c r="G8" s="9">
        <f>IF($A8="","",IF($B8="",COUNTIFS('寄样履约'!$A$2:$A$301,"&lt;&gt;",'寄样履约'!$H$2:$H$301,"&gt;="&amp;$A8,'寄样履约'!$H$2:$H$301,"&lt;"&amp;$C8),COUNTIFS('寄样履约'!$A$2:$A$301,"&lt;&gt;",'寄样履约'!$H$2:$H$301,"&gt;="&amp;$A8,'寄样履约'!$H$2:$H$301,"&lt;"&amp;$C8,'寄样履约'!$D$2:$D$301,$B8)))</f>
        <v/>
      </c>
      <c r="H8" s="9">
        <f>IF($A8="","",IF($B8="",COUNTIFS('寄样履约'!$A$2:$A$301,"&lt;&gt;",'寄样履约'!$K$2:$K$301,"&gt;="&amp;$A8,'寄样履约'!$K$2:$K$301,"&lt;"&amp;$C8),COUNTIFS('寄样履约'!$A$2:$A$301,"&lt;&gt;",'寄样履约'!$K$2:$K$301,"&gt;="&amp;$A8,'寄样履约'!$K$2:$K$301,"&lt;"&amp;$C8,'寄样履约'!$D$2:$D$301,$B8)))</f>
        <v/>
      </c>
      <c r="I8" s="9">
        <f>IF($A8="","",IF($B8="",SUMIFS('视频与订单复盘'!$AG$2:$AG$301,'视频与订单复盘'!$I$2:$I$301,"&gt;="&amp;$A8,'视频与订单复盘'!$I$2:$I$301,"&lt;"&amp;$C8),SUMIFS('视频与订单复盘'!$AG$2:$AG$301,'视频与订单复盘'!$I$2:$I$301,"&gt;="&amp;$A8,'视频与订单复盘'!$I$2:$I$301,"&lt;"&amp;$C8,'视频与订单复盘'!$H$2:$H$301,$B8)))</f>
        <v/>
      </c>
      <c r="J8" s="10">
        <f>IF($A8="","",IF($B8="",SUMIFS('视频与订单复盘'!$P$2:$P$301,'视频与订单复盘'!$I$2:$I$301,"&gt;="&amp;$A8,'视频与订单复盘'!$I$2:$I$301,"&lt;"&amp;$C8,'视频与订单复盘'!$AF$2:$AF$301,"可汇总"),SUMIFS('视频与订单复盘'!$P$2:$P$301,'视频与订单复盘'!$I$2:$I$301,"&gt;="&amp;$A8,'视频与订单复盘'!$I$2:$I$301,"&lt;"&amp;$C8,'视频与订单复盘'!$AF$2:$AF$301,"可汇总",'视频与订单复盘'!$H$2:$H$301,$B8)))</f>
        <v/>
      </c>
      <c r="K8" s="10">
        <f>IF($A8="","",IF($B8="",SUMIFS('视频与订单复盘'!$Y$2:$Y$301,'视频与订单复盘'!$I$2:$I$301,"&gt;="&amp;$A8,'视频与订单复盘'!$I$2:$I$301,"&lt;"&amp;$C8,'视频与订单复盘'!$AF$2:$AF$301,"可汇总"),SUMIFS('视频与订单复盘'!$Y$2:$Y$301,'视频与订单复盘'!$I$2:$I$301,"&gt;="&amp;$A8,'视频与订单复盘'!$I$2:$I$301,"&lt;"&amp;$C8,'视频与订单复盘'!$AF$2:$AF$301,"可汇总",'视频与订单复盘'!$H$2:$H$301,$B8)))</f>
        <v/>
      </c>
      <c r="L8" s="10">
        <f>IF($A8="","",IF($B8="",SUMIFS('寄样履约'!$R$2:$R$301,'寄样履约'!$A$2:$A$301,"&lt;&gt;",'寄样履约'!$H$2:$H$301,"&gt;="&amp;$A8,'寄样履约'!$H$2:$H$301,"&lt;"&amp;$C8),SUMIFS('寄样履约'!$R$2:$R$301,'寄样履约'!$A$2:$A$301,"&lt;&gt;",'寄样履约'!$H$2:$H$301,"&gt;="&amp;$A8,'寄样履约'!$H$2:$H$301,"&lt;"&amp;$C8,'寄样履约'!$D$2:$D$301,$B8)))</f>
        <v/>
      </c>
    </row>
    <row r="9" spans="1:16" ht="34" customHeight="1">
      <c r="C9" s="11">
        <f>IF(A9="","",A9+7)</f>
        <v/>
      </c>
      <c r="D9" s="9">
        <f>IF($A9="","",IF($B9="",COUNTIFS('达人线索与合作'!$A$2:$A$301,"&lt;&gt;",'达人线索与合作'!$U$2:$U$301,"&gt;="&amp;$A9,'达人线索与合作'!$U$2:$U$301,"&lt;"&amp;$C9),COUNTIFS('达人线索与合作'!$A$2:$A$301,"&lt;&gt;",'达人线索与合作'!$U$2:$U$301,"&gt;="&amp;$A9,'达人线索与合作'!$U$2:$U$301,"&lt;"&amp;$C9,'达人线索与合作'!$F$2:$F$301,$B9)))</f>
        <v/>
      </c>
      <c r="E9" s="9">
        <f>IF($A9="","",IF($B9="",COUNTIFS('达人线索与合作'!$A$2:$A$301,"&lt;&gt;",'达人线索与合作'!$AC$2:$AC$301,"&gt;="&amp;$A9,'达人线索与合作'!$AC$2:$AC$301,"&lt;"&amp;$C9),COUNTIFS('达人线索与合作'!$A$2:$A$301,"&lt;&gt;",'达人线索与合作'!$AC$2:$AC$301,"&gt;="&amp;$A9,'达人线索与合作'!$AC$2:$AC$301,"&lt;"&amp;$C9,'达人线索与合作'!$F$2:$F$301,$B9)))</f>
        <v/>
      </c>
      <c r="F9" s="9">
        <f>IF($A9="","",IF($B9="",COUNTIFS('达人线索与合作'!$B$2:$B$301,"&lt;&gt;",'达人线索与合作'!$AD$2:$AD$301,"&gt;="&amp;$A9,'达人线索与合作'!$AD$2:$AD$301,"&lt;"&amp;$C9),COUNTIFS('达人线索与合作'!$B$2:$B$301,"&lt;&gt;",'达人线索与合作'!$AD$2:$AD$301,"&gt;="&amp;$A9,'达人线索与合作'!$AD$2:$AD$301,"&lt;"&amp;$C9,'达人线索与合作'!$F$2:$F$301,$B9)))</f>
        <v/>
      </c>
      <c r="G9" s="9">
        <f>IF($A9="","",IF($B9="",COUNTIFS('寄样履约'!$A$2:$A$301,"&lt;&gt;",'寄样履约'!$H$2:$H$301,"&gt;="&amp;$A9,'寄样履约'!$H$2:$H$301,"&lt;"&amp;$C9),COUNTIFS('寄样履约'!$A$2:$A$301,"&lt;&gt;",'寄样履约'!$H$2:$H$301,"&gt;="&amp;$A9,'寄样履约'!$H$2:$H$301,"&lt;"&amp;$C9,'寄样履约'!$D$2:$D$301,$B9)))</f>
        <v/>
      </c>
      <c r="H9" s="9">
        <f>IF($A9="","",IF($B9="",COUNTIFS('寄样履约'!$A$2:$A$301,"&lt;&gt;",'寄样履约'!$K$2:$K$301,"&gt;="&amp;$A9,'寄样履约'!$K$2:$K$301,"&lt;"&amp;$C9),COUNTIFS('寄样履约'!$A$2:$A$301,"&lt;&gt;",'寄样履约'!$K$2:$K$301,"&gt;="&amp;$A9,'寄样履约'!$K$2:$K$301,"&lt;"&amp;$C9,'寄样履约'!$D$2:$D$301,$B9)))</f>
        <v/>
      </c>
      <c r="I9" s="9">
        <f>IF($A9="","",IF($B9="",SUMIFS('视频与订单复盘'!$AG$2:$AG$301,'视频与订单复盘'!$I$2:$I$301,"&gt;="&amp;$A9,'视频与订单复盘'!$I$2:$I$301,"&lt;"&amp;$C9),SUMIFS('视频与订单复盘'!$AG$2:$AG$301,'视频与订单复盘'!$I$2:$I$301,"&gt;="&amp;$A9,'视频与订单复盘'!$I$2:$I$301,"&lt;"&amp;$C9,'视频与订单复盘'!$H$2:$H$301,$B9)))</f>
        <v/>
      </c>
      <c r="J9" s="10">
        <f>IF($A9="","",IF($B9="",SUMIFS('视频与订单复盘'!$P$2:$P$301,'视频与订单复盘'!$I$2:$I$301,"&gt;="&amp;$A9,'视频与订单复盘'!$I$2:$I$301,"&lt;"&amp;$C9,'视频与订单复盘'!$AF$2:$AF$301,"可汇总"),SUMIFS('视频与订单复盘'!$P$2:$P$301,'视频与订单复盘'!$I$2:$I$301,"&gt;="&amp;$A9,'视频与订单复盘'!$I$2:$I$301,"&lt;"&amp;$C9,'视频与订单复盘'!$AF$2:$AF$301,"可汇总",'视频与订单复盘'!$H$2:$H$301,$B9)))</f>
        <v/>
      </c>
      <c r="K9" s="10">
        <f>IF($A9="","",IF($B9="",SUMIFS('视频与订单复盘'!$Y$2:$Y$301,'视频与订单复盘'!$I$2:$I$301,"&gt;="&amp;$A9,'视频与订单复盘'!$I$2:$I$301,"&lt;"&amp;$C9,'视频与订单复盘'!$AF$2:$AF$301,"可汇总"),SUMIFS('视频与订单复盘'!$Y$2:$Y$301,'视频与订单复盘'!$I$2:$I$301,"&gt;="&amp;$A9,'视频与订单复盘'!$I$2:$I$301,"&lt;"&amp;$C9,'视频与订单复盘'!$AF$2:$AF$301,"可汇总",'视频与订单复盘'!$H$2:$H$301,$B9)))</f>
        <v/>
      </c>
      <c r="L9" s="10">
        <f>IF($A9="","",IF($B9="",SUMIFS('寄样履约'!$R$2:$R$301,'寄样履约'!$A$2:$A$301,"&lt;&gt;",'寄样履约'!$H$2:$H$301,"&gt;="&amp;$A9,'寄样履约'!$H$2:$H$301,"&lt;"&amp;$C9),SUMIFS('寄样履约'!$R$2:$R$301,'寄样履约'!$A$2:$A$301,"&lt;&gt;",'寄样履约'!$H$2:$H$301,"&gt;="&amp;$A9,'寄样履约'!$H$2:$H$301,"&lt;"&amp;$C9,'寄样履约'!$D$2:$D$301,$B9)))</f>
        <v/>
      </c>
    </row>
    <row r="10" spans="1:16" ht="34" customHeight="1">
      <c r="C10" s="11">
        <f>IF(A10="","",A10+7)</f>
        <v/>
      </c>
      <c r="D10" s="9">
        <f>IF($A10="","",IF($B10="",COUNTIFS('达人线索与合作'!$A$2:$A$301,"&lt;&gt;",'达人线索与合作'!$U$2:$U$301,"&gt;="&amp;$A10,'达人线索与合作'!$U$2:$U$301,"&lt;"&amp;$C10),COUNTIFS('达人线索与合作'!$A$2:$A$301,"&lt;&gt;",'达人线索与合作'!$U$2:$U$301,"&gt;="&amp;$A10,'达人线索与合作'!$U$2:$U$301,"&lt;"&amp;$C10,'达人线索与合作'!$F$2:$F$301,$B10)))</f>
        <v/>
      </c>
      <c r="E10" s="9">
        <f>IF($A10="","",IF($B10="",COUNTIFS('达人线索与合作'!$A$2:$A$301,"&lt;&gt;",'达人线索与合作'!$AC$2:$AC$301,"&gt;="&amp;$A10,'达人线索与合作'!$AC$2:$AC$301,"&lt;"&amp;$C10),COUNTIFS('达人线索与合作'!$A$2:$A$301,"&lt;&gt;",'达人线索与合作'!$AC$2:$AC$301,"&gt;="&amp;$A10,'达人线索与合作'!$AC$2:$AC$301,"&lt;"&amp;$C10,'达人线索与合作'!$F$2:$F$301,$B10)))</f>
        <v/>
      </c>
      <c r="F10" s="9">
        <f>IF($A10="","",IF($B10="",COUNTIFS('达人线索与合作'!$B$2:$B$301,"&lt;&gt;",'达人线索与合作'!$AD$2:$AD$301,"&gt;="&amp;$A10,'达人线索与合作'!$AD$2:$AD$301,"&lt;"&amp;$C10),COUNTIFS('达人线索与合作'!$B$2:$B$301,"&lt;&gt;",'达人线索与合作'!$AD$2:$AD$301,"&gt;="&amp;$A10,'达人线索与合作'!$AD$2:$AD$301,"&lt;"&amp;$C10,'达人线索与合作'!$F$2:$F$301,$B10)))</f>
        <v/>
      </c>
      <c r="G10" s="9">
        <f>IF($A10="","",IF($B10="",COUNTIFS('寄样履约'!$A$2:$A$301,"&lt;&gt;",'寄样履约'!$H$2:$H$301,"&gt;="&amp;$A10,'寄样履约'!$H$2:$H$301,"&lt;"&amp;$C10),COUNTIFS('寄样履约'!$A$2:$A$301,"&lt;&gt;",'寄样履约'!$H$2:$H$301,"&gt;="&amp;$A10,'寄样履约'!$H$2:$H$301,"&lt;"&amp;$C10,'寄样履约'!$D$2:$D$301,$B10)))</f>
        <v/>
      </c>
      <c r="H10" s="9">
        <f>IF($A10="","",IF($B10="",COUNTIFS('寄样履约'!$A$2:$A$301,"&lt;&gt;",'寄样履约'!$K$2:$K$301,"&gt;="&amp;$A10,'寄样履约'!$K$2:$K$301,"&lt;"&amp;$C10),COUNTIFS('寄样履约'!$A$2:$A$301,"&lt;&gt;",'寄样履约'!$K$2:$K$301,"&gt;="&amp;$A10,'寄样履约'!$K$2:$K$301,"&lt;"&amp;$C10,'寄样履约'!$D$2:$D$301,$B10)))</f>
        <v/>
      </c>
      <c r="I10" s="9">
        <f>IF($A10="","",IF($B10="",SUMIFS('视频与订单复盘'!$AG$2:$AG$301,'视频与订单复盘'!$I$2:$I$301,"&gt;="&amp;$A10,'视频与订单复盘'!$I$2:$I$301,"&lt;"&amp;$C10),SUMIFS('视频与订单复盘'!$AG$2:$AG$301,'视频与订单复盘'!$I$2:$I$301,"&gt;="&amp;$A10,'视频与订单复盘'!$I$2:$I$301,"&lt;"&amp;$C10,'视频与订单复盘'!$H$2:$H$301,$B10)))</f>
        <v/>
      </c>
      <c r="J10" s="10">
        <f>IF($A10="","",IF($B10="",SUMIFS('视频与订单复盘'!$P$2:$P$301,'视频与订单复盘'!$I$2:$I$301,"&gt;="&amp;$A10,'视频与订单复盘'!$I$2:$I$301,"&lt;"&amp;$C10,'视频与订单复盘'!$AF$2:$AF$301,"可汇总"),SUMIFS('视频与订单复盘'!$P$2:$P$301,'视频与订单复盘'!$I$2:$I$301,"&gt;="&amp;$A10,'视频与订单复盘'!$I$2:$I$301,"&lt;"&amp;$C10,'视频与订单复盘'!$AF$2:$AF$301,"可汇总",'视频与订单复盘'!$H$2:$H$301,$B10)))</f>
        <v/>
      </c>
      <c r="K10" s="10">
        <f>IF($A10="","",IF($B10="",SUMIFS('视频与订单复盘'!$Y$2:$Y$301,'视频与订单复盘'!$I$2:$I$301,"&gt;="&amp;$A10,'视频与订单复盘'!$I$2:$I$301,"&lt;"&amp;$C10,'视频与订单复盘'!$AF$2:$AF$301,"可汇总"),SUMIFS('视频与订单复盘'!$Y$2:$Y$301,'视频与订单复盘'!$I$2:$I$301,"&gt;="&amp;$A10,'视频与订单复盘'!$I$2:$I$301,"&lt;"&amp;$C10,'视频与订单复盘'!$AF$2:$AF$301,"可汇总",'视频与订单复盘'!$H$2:$H$301,$B10)))</f>
        <v/>
      </c>
      <c r="L10" s="10">
        <f>IF($A10="","",IF($B10="",SUMIFS('寄样履约'!$R$2:$R$301,'寄样履约'!$A$2:$A$301,"&lt;&gt;",'寄样履约'!$H$2:$H$301,"&gt;="&amp;$A10,'寄样履约'!$H$2:$H$301,"&lt;"&amp;$C10),SUMIFS('寄样履约'!$R$2:$R$301,'寄样履约'!$A$2:$A$301,"&lt;&gt;",'寄样履约'!$H$2:$H$301,"&gt;="&amp;$A10,'寄样履约'!$H$2:$H$301,"&lt;"&amp;$C10,'寄样履约'!$D$2:$D$301,$B10)))</f>
        <v/>
      </c>
    </row>
    <row r="11" spans="1:16" ht="34" customHeight="1">
      <c r="C11" s="11">
        <f>IF(A11="","",A11+7)</f>
        <v/>
      </c>
      <c r="D11" s="9">
        <f>IF($A11="","",IF($B11="",COUNTIFS('达人线索与合作'!$A$2:$A$301,"&lt;&gt;",'达人线索与合作'!$U$2:$U$301,"&gt;="&amp;$A11,'达人线索与合作'!$U$2:$U$301,"&lt;"&amp;$C11),COUNTIFS('达人线索与合作'!$A$2:$A$301,"&lt;&gt;",'达人线索与合作'!$U$2:$U$301,"&gt;="&amp;$A11,'达人线索与合作'!$U$2:$U$301,"&lt;"&amp;$C11,'达人线索与合作'!$F$2:$F$301,$B11)))</f>
        <v/>
      </c>
      <c r="E11" s="9">
        <f>IF($A11="","",IF($B11="",COUNTIFS('达人线索与合作'!$A$2:$A$301,"&lt;&gt;",'达人线索与合作'!$AC$2:$AC$301,"&gt;="&amp;$A11,'达人线索与合作'!$AC$2:$AC$301,"&lt;"&amp;$C11),COUNTIFS('达人线索与合作'!$A$2:$A$301,"&lt;&gt;",'达人线索与合作'!$AC$2:$AC$301,"&gt;="&amp;$A11,'达人线索与合作'!$AC$2:$AC$301,"&lt;"&amp;$C11,'达人线索与合作'!$F$2:$F$301,$B11)))</f>
        <v/>
      </c>
      <c r="F11" s="9">
        <f>IF($A11="","",IF($B11="",COUNTIFS('达人线索与合作'!$B$2:$B$301,"&lt;&gt;",'达人线索与合作'!$AD$2:$AD$301,"&gt;="&amp;$A11,'达人线索与合作'!$AD$2:$AD$301,"&lt;"&amp;$C11),COUNTIFS('达人线索与合作'!$B$2:$B$301,"&lt;&gt;",'达人线索与合作'!$AD$2:$AD$301,"&gt;="&amp;$A11,'达人线索与合作'!$AD$2:$AD$301,"&lt;"&amp;$C11,'达人线索与合作'!$F$2:$F$301,$B11)))</f>
        <v/>
      </c>
      <c r="G11" s="9">
        <f>IF($A11="","",IF($B11="",COUNTIFS('寄样履约'!$A$2:$A$301,"&lt;&gt;",'寄样履约'!$H$2:$H$301,"&gt;="&amp;$A11,'寄样履约'!$H$2:$H$301,"&lt;"&amp;$C11),COUNTIFS('寄样履约'!$A$2:$A$301,"&lt;&gt;",'寄样履约'!$H$2:$H$301,"&gt;="&amp;$A11,'寄样履约'!$H$2:$H$301,"&lt;"&amp;$C11,'寄样履约'!$D$2:$D$301,$B11)))</f>
        <v/>
      </c>
      <c r="H11" s="9">
        <f>IF($A11="","",IF($B11="",COUNTIFS('寄样履约'!$A$2:$A$301,"&lt;&gt;",'寄样履约'!$K$2:$K$301,"&gt;="&amp;$A11,'寄样履约'!$K$2:$K$301,"&lt;"&amp;$C11),COUNTIFS('寄样履约'!$A$2:$A$301,"&lt;&gt;",'寄样履约'!$K$2:$K$301,"&gt;="&amp;$A11,'寄样履约'!$K$2:$K$301,"&lt;"&amp;$C11,'寄样履约'!$D$2:$D$301,$B11)))</f>
        <v/>
      </c>
      <c r="I11" s="9">
        <f>IF($A11="","",IF($B11="",SUMIFS('视频与订单复盘'!$AG$2:$AG$301,'视频与订单复盘'!$I$2:$I$301,"&gt;="&amp;$A11,'视频与订单复盘'!$I$2:$I$301,"&lt;"&amp;$C11),SUMIFS('视频与订单复盘'!$AG$2:$AG$301,'视频与订单复盘'!$I$2:$I$301,"&gt;="&amp;$A11,'视频与订单复盘'!$I$2:$I$301,"&lt;"&amp;$C11,'视频与订单复盘'!$H$2:$H$301,$B11)))</f>
        <v/>
      </c>
      <c r="J11" s="10">
        <f>IF($A11="","",IF($B11="",SUMIFS('视频与订单复盘'!$P$2:$P$301,'视频与订单复盘'!$I$2:$I$301,"&gt;="&amp;$A11,'视频与订单复盘'!$I$2:$I$301,"&lt;"&amp;$C11,'视频与订单复盘'!$AF$2:$AF$301,"可汇总"),SUMIFS('视频与订单复盘'!$P$2:$P$301,'视频与订单复盘'!$I$2:$I$301,"&gt;="&amp;$A11,'视频与订单复盘'!$I$2:$I$301,"&lt;"&amp;$C11,'视频与订单复盘'!$AF$2:$AF$301,"可汇总",'视频与订单复盘'!$H$2:$H$301,$B11)))</f>
        <v/>
      </c>
      <c r="K11" s="10">
        <f>IF($A11="","",IF($B11="",SUMIFS('视频与订单复盘'!$Y$2:$Y$301,'视频与订单复盘'!$I$2:$I$301,"&gt;="&amp;$A11,'视频与订单复盘'!$I$2:$I$301,"&lt;"&amp;$C11,'视频与订单复盘'!$AF$2:$AF$301,"可汇总"),SUMIFS('视频与订单复盘'!$Y$2:$Y$301,'视频与订单复盘'!$I$2:$I$301,"&gt;="&amp;$A11,'视频与订单复盘'!$I$2:$I$301,"&lt;"&amp;$C11,'视频与订单复盘'!$AF$2:$AF$301,"可汇总",'视频与订单复盘'!$H$2:$H$301,$B11)))</f>
        <v/>
      </c>
      <c r="L11" s="10">
        <f>IF($A11="","",IF($B11="",SUMIFS('寄样履约'!$R$2:$R$301,'寄样履约'!$A$2:$A$301,"&lt;&gt;",'寄样履约'!$H$2:$H$301,"&gt;="&amp;$A11,'寄样履约'!$H$2:$H$301,"&lt;"&amp;$C11),SUMIFS('寄样履约'!$R$2:$R$301,'寄样履约'!$A$2:$A$301,"&lt;&gt;",'寄样履约'!$H$2:$H$301,"&gt;="&amp;$A11,'寄样履约'!$H$2:$H$301,"&lt;"&amp;$C11,'寄样履约'!$D$2:$D$301,$B11)))</f>
        <v/>
      </c>
    </row>
    <row r="12" spans="1:16" ht="34" customHeight="1">
      <c r="C12" s="11">
        <f>IF(A12="","",A12+7)</f>
        <v/>
      </c>
      <c r="D12" s="9">
        <f>IF($A12="","",IF($B12="",COUNTIFS('达人线索与合作'!$A$2:$A$301,"&lt;&gt;",'达人线索与合作'!$U$2:$U$301,"&gt;="&amp;$A12,'达人线索与合作'!$U$2:$U$301,"&lt;"&amp;$C12),COUNTIFS('达人线索与合作'!$A$2:$A$301,"&lt;&gt;",'达人线索与合作'!$U$2:$U$301,"&gt;="&amp;$A12,'达人线索与合作'!$U$2:$U$301,"&lt;"&amp;$C12,'达人线索与合作'!$F$2:$F$301,$B12)))</f>
        <v/>
      </c>
      <c r="E12" s="9">
        <f>IF($A12="","",IF($B12="",COUNTIFS('达人线索与合作'!$A$2:$A$301,"&lt;&gt;",'达人线索与合作'!$AC$2:$AC$301,"&gt;="&amp;$A12,'达人线索与合作'!$AC$2:$AC$301,"&lt;"&amp;$C12),COUNTIFS('达人线索与合作'!$A$2:$A$301,"&lt;&gt;",'达人线索与合作'!$AC$2:$AC$301,"&gt;="&amp;$A12,'达人线索与合作'!$AC$2:$AC$301,"&lt;"&amp;$C12,'达人线索与合作'!$F$2:$F$301,$B12)))</f>
        <v/>
      </c>
      <c r="F12" s="9">
        <f>IF($A12="","",IF($B12="",COUNTIFS('达人线索与合作'!$B$2:$B$301,"&lt;&gt;",'达人线索与合作'!$AD$2:$AD$301,"&gt;="&amp;$A12,'达人线索与合作'!$AD$2:$AD$301,"&lt;"&amp;$C12),COUNTIFS('达人线索与合作'!$B$2:$B$301,"&lt;&gt;",'达人线索与合作'!$AD$2:$AD$301,"&gt;="&amp;$A12,'达人线索与合作'!$AD$2:$AD$301,"&lt;"&amp;$C12,'达人线索与合作'!$F$2:$F$301,$B12)))</f>
        <v/>
      </c>
      <c r="G12" s="9">
        <f>IF($A12="","",IF($B12="",COUNTIFS('寄样履约'!$A$2:$A$301,"&lt;&gt;",'寄样履约'!$H$2:$H$301,"&gt;="&amp;$A12,'寄样履约'!$H$2:$H$301,"&lt;"&amp;$C12),COUNTIFS('寄样履约'!$A$2:$A$301,"&lt;&gt;",'寄样履约'!$H$2:$H$301,"&gt;="&amp;$A12,'寄样履约'!$H$2:$H$301,"&lt;"&amp;$C12,'寄样履约'!$D$2:$D$301,$B12)))</f>
        <v/>
      </c>
      <c r="H12" s="9">
        <f>IF($A12="","",IF($B12="",COUNTIFS('寄样履约'!$A$2:$A$301,"&lt;&gt;",'寄样履约'!$K$2:$K$301,"&gt;="&amp;$A12,'寄样履约'!$K$2:$K$301,"&lt;"&amp;$C12),COUNTIFS('寄样履约'!$A$2:$A$301,"&lt;&gt;",'寄样履约'!$K$2:$K$301,"&gt;="&amp;$A12,'寄样履约'!$K$2:$K$301,"&lt;"&amp;$C12,'寄样履约'!$D$2:$D$301,$B12)))</f>
        <v/>
      </c>
      <c r="I12" s="9">
        <f>IF($A12="","",IF($B12="",SUMIFS('视频与订单复盘'!$AG$2:$AG$301,'视频与订单复盘'!$I$2:$I$301,"&gt;="&amp;$A12,'视频与订单复盘'!$I$2:$I$301,"&lt;"&amp;$C12),SUMIFS('视频与订单复盘'!$AG$2:$AG$301,'视频与订单复盘'!$I$2:$I$301,"&gt;="&amp;$A12,'视频与订单复盘'!$I$2:$I$301,"&lt;"&amp;$C12,'视频与订单复盘'!$H$2:$H$301,$B12)))</f>
        <v/>
      </c>
      <c r="J12" s="10">
        <f>IF($A12="","",IF($B12="",SUMIFS('视频与订单复盘'!$P$2:$P$301,'视频与订单复盘'!$I$2:$I$301,"&gt;="&amp;$A12,'视频与订单复盘'!$I$2:$I$301,"&lt;"&amp;$C12,'视频与订单复盘'!$AF$2:$AF$301,"可汇总"),SUMIFS('视频与订单复盘'!$P$2:$P$301,'视频与订单复盘'!$I$2:$I$301,"&gt;="&amp;$A12,'视频与订单复盘'!$I$2:$I$301,"&lt;"&amp;$C12,'视频与订单复盘'!$AF$2:$AF$301,"可汇总",'视频与订单复盘'!$H$2:$H$301,$B12)))</f>
        <v/>
      </c>
      <c r="K12" s="10">
        <f>IF($A12="","",IF($B12="",SUMIFS('视频与订单复盘'!$Y$2:$Y$301,'视频与订单复盘'!$I$2:$I$301,"&gt;="&amp;$A12,'视频与订单复盘'!$I$2:$I$301,"&lt;"&amp;$C12,'视频与订单复盘'!$AF$2:$AF$301,"可汇总"),SUMIFS('视频与订单复盘'!$Y$2:$Y$301,'视频与订单复盘'!$I$2:$I$301,"&gt;="&amp;$A12,'视频与订单复盘'!$I$2:$I$301,"&lt;"&amp;$C12,'视频与订单复盘'!$AF$2:$AF$301,"可汇总",'视频与订单复盘'!$H$2:$H$301,$B12)))</f>
        <v/>
      </c>
      <c r="L12" s="10">
        <f>IF($A12="","",IF($B12="",SUMIFS('寄样履约'!$R$2:$R$301,'寄样履约'!$A$2:$A$301,"&lt;&gt;",'寄样履约'!$H$2:$H$301,"&gt;="&amp;$A12,'寄样履约'!$H$2:$H$301,"&lt;"&amp;$C12),SUMIFS('寄样履约'!$R$2:$R$301,'寄样履约'!$A$2:$A$301,"&lt;&gt;",'寄样履约'!$H$2:$H$301,"&gt;="&amp;$A12,'寄样履约'!$H$2:$H$301,"&lt;"&amp;$C12,'寄样履约'!$D$2:$D$301,$B12)))</f>
        <v/>
      </c>
    </row>
    <row r="13" spans="1:16" ht="34" customHeight="1">
      <c r="C13" s="11">
        <f>IF(A13="","",A13+7)</f>
        <v/>
      </c>
      <c r="D13" s="9">
        <f>IF($A13="","",IF($B13="",COUNTIFS('达人线索与合作'!$A$2:$A$301,"&lt;&gt;",'达人线索与合作'!$U$2:$U$301,"&gt;="&amp;$A13,'达人线索与合作'!$U$2:$U$301,"&lt;"&amp;$C13),COUNTIFS('达人线索与合作'!$A$2:$A$301,"&lt;&gt;",'达人线索与合作'!$U$2:$U$301,"&gt;="&amp;$A13,'达人线索与合作'!$U$2:$U$301,"&lt;"&amp;$C13,'达人线索与合作'!$F$2:$F$301,$B13)))</f>
        <v/>
      </c>
      <c r="E13" s="9">
        <f>IF($A13="","",IF($B13="",COUNTIFS('达人线索与合作'!$A$2:$A$301,"&lt;&gt;",'达人线索与合作'!$AC$2:$AC$301,"&gt;="&amp;$A13,'达人线索与合作'!$AC$2:$AC$301,"&lt;"&amp;$C13),COUNTIFS('达人线索与合作'!$A$2:$A$301,"&lt;&gt;",'达人线索与合作'!$AC$2:$AC$301,"&gt;="&amp;$A13,'达人线索与合作'!$AC$2:$AC$301,"&lt;"&amp;$C13,'达人线索与合作'!$F$2:$F$301,$B13)))</f>
        <v/>
      </c>
      <c r="F13" s="9">
        <f>IF($A13="","",IF($B13="",COUNTIFS('达人线索与合作'!$B$2:$B$301,"&lt;&gt;",'达人线索与合作'!$AD$2:$AD$301,"&gt;="&amp;$A13,'达人线索与合作'!$AD$2:$AD$301,"&lt;"&amp;$C13),COUNTIFS('达人线索与合作'!$B$2:$B$301,"&lt;&gt;",'达人线索与合作'!$AD$2:$AD$301,"&gt;="&amp;$A13,'达人线索与合作'!$AD$2:$AD$301,"&lt;"&amp;$C13,'达人线索与合作'!$F$2:$F$301,$B13)))</f>
        <v/>
      </c>
      <c r="G13" s="9">
        <f>IF($A13="","",IF($B13="",COUNTIFS('寄样履约'!$A$2:$A$301,"&lt;&gt;",'寄样履约'!$H$2:$H$301,"&gt;="&amp;$A13,'寄样履约'!$H$2:$H$301,"&lt;"&amp;$C13),COUNTIFS('寄样履约'!$A$2:$A$301,"&lt;&gt;",'寄样履约'!$H$2:$H$301,"&gt;="&amp;$A13,'寄样履约'!$H$2:$H$301,"&lt;"&amp;$C13,'寄样履约'!$D$2:$D$301,$B13)))</f>
        <v/>
      </c>
      <c r="H13" s="9">
        <f>IF($A13="","",IF($B13="",COUNTIFS('寄样履约'!$A$2:$A$301,"&lt;&gt;",'寄样履约'!$K$2:$K$301,"&gt;="&amp;$A13,'寄样履约'!$K$2:$K$301,"&lt;"&amp;$C13),COUNTIFS('寄样履约'!$A$2:$A$301,"&lt;&gt;",'寄样履约'!$K$2:$K$301,"&gt;="&amp;$A13,'寄样履约'!$K$2:$K$301,"&lt;"&amp;$C13,'寄样履约'!$D$2:$D$301,$B13)))</f>
        <v/>
      </c>
      <c r="I13" s="9">
        <f>IF($A13="","",IF($B13="",SUMIFS('视频与订单复盘'!$AG$2:$AG$301,'视频与订单复盘'!$I$2:$I$301,"&gt;="&amp;$A13,'视频与订单复盘'!$I$2:$I$301,"&lt;"&amp;$C13),SUMIFS('视频与订单复盘'!$AG$2:$AG$301,'视频与订单复盘'!$I$2:$I$301,"&gt;="&amp;$A13,'视频与订单复盘'!$I$2:$I$301,"&lt;"&amp;$C13,'视频与订单复盘'!$H$2:$H$301,$B13)))</f>
        <v/>
      </c>
      <c r="J13" s="10">
        <f>IF($A13="","",IF($B13="",SUMIFS('视频与订单复盘'!$P$2:$P$301,'视频与订单复盘'!$I$2:$I$301,"&gt;="&amp;$A13,'视频与订单复盘'!$I$2:$I$301,"&lt;"&amp;$C13,'视频与订单复盘'!$AF$2:$AF$301,"可汇总"),SUMIFS('视频与订单复盘'!$P$2:$P$301,'视频与订单复盘'!$I$2:$I$301,"&gt;="&amp;$A13,'视频与订单复盘'!$I$2:$I$301,"&lt;"&amp;$C13,'视频与订单复盘'!$AF$2:$AF$301,"可汇总",'视频与订单复盘'!$H$2:$H$301,$B13)))</f>
        <v/>
      </c>
      <c r="K13" s="10">
        <f>IF($A13="","",IF($B13="",SUMIFS('视频与订单复盘'!$Y$2:$Y$301,'视频与订单复盘'!$I$2:$I$301,"&gt;="&amp;$A13,'视频与订单复盘'!$I$2:$I$301,"&lt;"&amp;$C13,'视频与订单复盘'!$AF$2:$AF$301,"可汇总"),SUMIFS('视频与订单复盘'!$Y$2:$Y$301,'视频与订单复盘'!$I$2:$I$301,"&gt;="&amp;$A13,'视频与订单复盘'!$I$2:$I$301,"&lt;"&amp;$C13,'视频与订单复盘'!$AF$2:$AF$301,"可汇总",'视频与订单复盘'!$H$2:$H$301,$B13)))</f>
        <v/>
      </c>
      <c r="L13" s="10">
        <f>IF($A13="","",IF($B13="",SUMIFS('寄样履约'!$R$2:$R$301,'寄样履约'!$A$2:$A$301,"&lt;&gt;",'寄样履约'!$H$2:$H$301,"&gt;="&amp;$A13,'寄样履约'!$H$2:$H$301,"&lt;"&amp;$C13),SUMIFS('寄样履约'!$R$2:$R$301,'寄样履约'!$A$2:$A$301,"&lt;&gt;",'寄样履约'!$H$2:$H$301,"&gt;="&amp;$A13,'寄样履约'!$H$2:$H$301,"&lt;"&amp;$C13,'寄样履约'!$D$2:$D$301,$B13)))</f>
        <v/>
      </c>
    </row>
    <row r="14" spans="1:16" ht="34" customHeight="1">
      <c r="C14" s="11">
        <f>IF(A14="","",A14+7)</f>
        <v/>
      </c>
      <c r="D14" s="9">
        <f>IF($A14="","",IF($B14="",COUNTIFS('达人线索与合作'!$A$2:$A$301,"&lt;&gt;",'达人线索与合作'!$U$2:$U$301,"&gt;="&amp;$A14,'达人线索与合作'!$U$2:$U$301,"&lt;"&amp;$C14),COUNTIFS('达人线索与合作'!$A$2:$A$301,"&lt;&gt;",'达人线索与合作'!$U$2:$U$301,"&gt;="&amp;$A14,'达人线索与合作'!$U$2:$U$301,"&lt;"&amp;$C14,'达人线索与合作'!$F$2:$F$301,$B14)))</f>
        <v/>
      </c>
      <c r="E14" s="9">
        <f>IF($A14="","",IF($B14="",COUNTIFS('达人线索与合作'!$A$2:$A$301,"&lt;&gt;",'达人线索与合作'!$AC$2:$AC$301,"&gt;="&amp;$A14,'达人线索与合作'!$AC$2:$AC$301,"&lt;"&amp;$C14),COUNTIFS('达人线索与合作'!$A$2:$A$301,"&lt;&gt;",'达人线索与合作'!$AC$2:$AC$301,"&gt;="&amp;$A14,'达人线索与合作'!$AC$2:$AC$301,"&lt;"&amp;$C14,'达人线索与合作'!$F$2:$F$301,$B14)))</f>
        <v/>
      </c>
      <c r="F14" s="9">
        <f>IF($A14="","",IF($B14="",COUNTIFS('达人线索与合作'!$B$2:$B$301,"&lt;&gt;",'达人线索与合作'!$AD$2:$AD$301,"&gt;="&amp;$A14,'达人线索与合作'!$AD$2:$AD$301,"&lt;"&amp;$C14),COUNTIFS('达人线索与合作'!$B$2:$B$301,"&lt;&gt;",'达人线索与合作'!$AD$2:$AD$301,"&gt;="&amp;$A14,'达人线索与合作'!$AD$2:$AD$301,"&lt;"&amp;$C14,'达人线索与合作'!$F$2:$F$301,$B14)))</f>
        <v/>
      </c>
      <c r="G14" s="9">
        <f>IF($A14="","",IF($B14="",COUNTIFS('寄样履约'!$A$2:$A$301,"&lt;&gt;",'寄样履约'!$H$2:$H$301,"&gt;="&amp;$A14,'寄样履约'!$H$2:$H$301,"&lt;"&amp;$C14),COUNTIFS('寄样履约'!$A$2:$A$301,"&lt;&gt;",'寄样履约'!$H$2:$H$301,"&gt;="&amp;$A14,'寄样履约'!$H$2:$H$301,"&lt;"&amp;$C14,'寄样履约'!$D$2:$D$301,$B14)))</f>
        <v/>
      </c>
      <c r="H14" s="9">
        <f>IF($A14="","",IF($B14="",COUNTIFS('寄样履约'!$A$2:$A$301,"&lt;&gt;",'寄样履约'!$K$2:$K$301,"&gt;="&amp;$A14,'寄样履约'!$K$2:$K$301,"&lt;"&amp;$C14),COUNTIFS('寄样履约'!$A$2:$A$301,"&lt;&gt;",'寄样履约'!$K$2:$K$301,"&gt;="&amp;$A14,'寄样履约'!$K$2:$K$301,"&lt;"&amp;$C14,'寄样履约'!$D$2:$D$301,$B14)))</f>
        <v/>
      </c>
      <c r="I14" s="9">
        <f>IF($A14="","",IF($B14="",SUMIFS('视频与订单复盘'!$AG$2:$AG$301,'视频与订单复盘'!$I$2:$I$301,"&gt;="&amp;$A14,'视频与订单复盘'!$I$2:$I$301,"&lt;"&amp;$C14),SUMIFS('视频与订单复盘'!$AG$2:$AG$301,'视频与订单复盘'!$I$2:$I$301,"&gt;="&amp;$A14,'视频与订单复盘'!$I$2:$I$301,"&lt;"&amp;$C14,'视频与订单复盘'!$H$2:$H$301,$B14)))</f>
        <v/>
      </c>
      <c r="J14" s="10">
        <f>IF($A14="","",IF($B14="",SUMIFS('视频与订单复盘'!$P$2:$P$301,'视频与订单复盘'!$I$2:$I$301,"&gt;="&amp;$A14,'视频与订单复盘'!$I$2:$I$301,"&lt;"&amp;$C14,'视频与订单复盘'!$AF$2:$AF$301,"可汇总"),SUMIFS('视频与订单复盘'!$P$2:$P$301,'视频与订单复盘'!$I$2:$I$301,"&gt;="&amp;$A14,'视频与订单复盘'!$I$2:$I$301,"&lt;"&amp;$C14,'视频与订单复盘'!$AF$2:$AF$301,"可汇总",'视频与订单复盘'!$H$2:$H$301,$B14)))</f>
        <v/>
      </c>
      <c r="K14" s="10">
        <f>IF($A14="","",IF($B14="",SUMIFS('视频与订单复盘'!$Y$2:$Y$301,'视频与订单复盘'!$I$2:$I$301,"&gt;="&amp;$A14,'视频与订单复盘'!$I$2:$I$301,"&lt;"&amp;$C14,'视频与订单复盘'!$AF$2:$AF$301,"可汇总"),SUMIFS('视频与订单复盘'!$Y$2:$Y$301,'视频与订单复盘'!$I$2:$I$301,"&gt;="&amp;$A14,'视频与订单复盘'!$I$2:$I$301,"&lt;"&amp;$C14,'视频与订单复盘'!$AF$2:$AF$301,"可汇总",'视频与订单复盘'!$H$2:$H$301,$B14)))</f>
        <v/>
      </c>
      <c r="L14" s="10">
        <f>IF($A14="","",IF($B14="",SUMIFS('寄样履约'!$R$2:$R$301,'寄样履约'!$A$2:$A$301,"&lt;&gt;",'寄样履约'!$H$2:$H$301,"&gt;="&amp;$A14,'寄样履约'!$H$2:$H$301,"&lt;"&amp;$C14),SUMIFS('寄样履约'!$R$2:$R$301,'寄样履约'!$A$2:$A$301,"&lt;&gt;",'寄样履约'!$H$2:$H$301,"&gt;="&amp;$A14,'寄样履约'!$H$2:$H$301,"&lt;"&amp;$C14,'寄样履约'!$D$2:$D$301,$B14)))</f>
        <v/>
      </c>
    </row>
    <row r="15" spans="1:16" ht="34" customHeight="1">
      <c r="C15" s="11">
        <f>IF(A15="","",A15+7)</f>
        <v/>
      </c>
      <c r="D15" s="9">
        <f>IF($A15="","",IF($B15="",COUNTIFS('达人线索与合作'!$A$2:$A$301,"&lt;&gt;",'达人线索与合作'!$U$2:$U$301,"&gt;="&amp;$A15,'达人线索与合作'!$U$2:$U$301,"&lt;"&amp;$C15),COUNTIFS('达人线索与合作'!$A$2:$A$301,"&lt;&gt;",'达人线索与合作'!$U$2:$U$301,"&gt;="&amp;$A15,'达人线索与合作'!$U$2:$U$301,"&lt;"&amp;$C15,'达人线索与合作'!$F$2:$F$301,$B15)))</f>
        <v/>
      </c>
      <c r="E15" s="9">
        <f>IF($A15="","",IF($B15="",COUNTIFS('达人线索与合作'!$A$2:$A$301,"&lt;&gt;",'达人线索与合作'!$AC$2:$AC$301,"&gt;="&amp;$A15,'达人线索与合作'!$AC$2:$AC$301,"&lt;"&amp;$C15),COUNTIFS('达人线索与合作'!$A$2:$A$301,"&lt;&gt;",'达人线索与合作'!$AC$2:$AC$301,"&gt;="&amp;$A15,'达人线索与合作'!$AC$2:$AC$301,"&lt;"&amp;$C15,'达人线索与合作'!$F$2:$F$301,$B15)))</f>
        <v/>
      </c>
      <c r="F15" s="9">
        <f>IF($A15="","",IF($B15="",COUNTIFS('达人线索与合作'!$B$2:$B$301,"&lt;&gt;",'达人线索与合作'!$AD$2:$AD$301,"&gt;="&amp;$A15,'达人线索与合作'!$AD$2:$AD$301,"&lt;"&amp;$C15),COUNTIFS('达人线索与合作'!$B$2:$B$301,"&lt;&gt;",'达人线索与合作'!$AD$2:$AD$301,"&gt;="&amp;$A15,'达人线索与合作'!$AD$2:$AD$301,"&lt;"&amp;$C15,'达人线索与合作'!$F$2:$F$301,$B15)))</f>
        <v/>
      </c>
      <c r="G15" s="9">
        <f>IF($A15="","",IF($B15="",COUNTIFS('寄样履约'!$A$2:$A$301,"&lt;&gt;",'寄样履约'!$H$2:$H$301,"&gt;="&amp;$A15,'寄样履约'!$H$2:$H$301,"&lt;"&amp;$C15),COUNTIFS('寄样履约'!$A$2:$A$301,"&lt;&gt;",'寄样履约'!$H$2:$H$301,"&gt;="&amp;$A15,'寄样履约'!$H$2:$H$301,"&lt;"&amp;$C15,'寄样履约'!$D$2:$D$301,$B15)))</f>
        <v/>
      </c>
      <c r="H15" s="9">
        <f>IF($A15="","",IF($B15="",COUNTIFS('寄样履约'!$A$2:$A$301,"&lt;&gt;",'寄样履约'!$K$2:$K$301,"&gt;="&amp;$A15,'寄样履约'!$K$2:$K$301,"&lt;"&amp;$C15),COUNTIFS('寄样履约'!$A$2:$A$301,"&lt;&gt;",'寄样履约'!$K$2:$K$301,"&gt;="&amp;$A15,'寄样履约'!$K$2:$K$301,"&lt;"&amp;$C15,'寄样履约'!$D$2:$D$301,$B15)))</f>
        <v/>
      </c>
      <c r="I15" s="9">
        <f>IF($A15="","",IF($B15="",SUMIFS('视频与订单复盘'!$AG$2:$AG$301,'视频与订单复盘'!$I$2:$I$301,"&gt;="&amp;$A15,'视频与订单复盘'!$I$2:$I$301,"&lt;"&amp;$C15),SUMIFS('视频与订单复盘'!$AG$2:$AG$301,'视频与订单复盘'!$I$2:$I$301,"&gt;="&amp;$A15,'视频与订单复盘'!$I$2:$I$301,"&lt;"&amp;$C15,'视频与订单复盘'!$H$2:$H$301,$B15)))</f>
        <v/>
      </c>
      <c r="J15" s="10">
        <f>IF($A15="","",IF($B15="",SUMIFS('视频与订单复盘'!$P$2:$P$301,'视频与订单复盘'!$I$2:$I$301,"&gt;="&amp;$A15,'视频与订单复盘'!$I$2:$I$301,"&lt;"&amp;$C15,'视频与订单复盘'!$AF$2:$AF$301,"可汇总"),SUMIFS('视频与订单复盘'!$P$2:$P$301,'视频与订单复盘'!$I$2:$I$301,"&gt;="&amp;$A15,'视频与订单复盘'!$I$2:$I$301,"&lt;"&amp;$C15,'视频与订单复盘'!$AF$2:$AF$301,"可汇总",'视频与订单复盘'!$H$2:$H$301,$B15)))</f>
        <v/>
      </c>
      <c r="K15" s="10">
        <f>IF($A15="","",IF($B15="",SUMIFS('视频与订单复盘'!$Y$2:$Y$301,'视频与订单复盘'!$I$2:$I$301,"&gt;="&amp;$A15,'视频与订单复盘'!$I$2:$I$301,"&lt;"&amp;$C15,'视频与订单复盘'!$AF$2:$AF$301,"可汇总"),SUMIFS('视频与订单复盘'!$Y$2:$Y$301,'视频与订单复盘'!$I$2:$I$301,"&gt;="&amp;$A15,'视频与订单复盘'!$I$2:$I$301,"&lt;"&amp;$C15,'视频与订单复盘'!$AF$2:$AF$301,"可汇总",'视频与订单复盘'!$H$2:$H$301,$B15)))</f>
        <v/>
      </c>
      <c r="L15" s="10">
        <f>IF($A15="","",IF($B15="",SUMIFS('寄样履约'!$R$2:$R$301,'寄样履约'!$A$2:$A$301,"&lt;&gt;",'寄样履约'!$H$2:$H$301,"&gt;="&amp;$A15,'寄样履约'!$H$2:$H$301,"&lt;"&amp;$C15),SUMIFS('寄样履约'!$R$2:$R$301,'寄样履约'!$A$2:$A$301,"&lt;&gt;",'寄样履约'!$H$2:$H$301,"&gt;="&amp;$A15,'寄样履约'!$H$2:$H$301,"&lt;"&amp;$C15,'寄样履约'!$D$2:$D$301,$B15)))</f>
        <v/>
      </c>
    </row>
    <row r="16" spans="1:16" ht="34" customHeight="1">
      <c r="C16" s="11">
        <f>IF(A16="","",A16+7)</f>
        <v/>
      </c>
      <c r="D16" s="9">
        <f>IF($A16="","",IF($B16="",COUNTIFS('达人线索与合作'!$A$2:$A$301,"&lt;&gt;",'达人线索与合作'!$U$2:$U$301,"&gt;="&amp;$A16,'达人线索与合作'!$U$2:$U$301,"&lt;"&amp;$C16),COUNTIFS('达人线索与合作'!$A$2:$A$301,"&lt;&gt;",'达人线索与合作'!$U$2:$U$301,"&gt;="&amp;$A16,'达人线索与合作'!$U$2:$U$301,"&lt;"&amp;$C16,'达人线索与合作'!$F$2:$F$301,$B16)))</f>
        <v/>
      </c>
      <c r="E16" s="9">
        <f>IF($A16="","",IF($B16="",COUNTIFS('达人线索与合作'!$A$2:$A$301,"&lt;&gt;",'达人线索与合作'!$AC$2:$AC$301,"&gt;="&amp;$A16,'达人线索与合作'!$AC$2:$AC$301,"&lt;"&amp;$C16),COUNTIFS('达人线索与合作'!$A$2:$A$301,"&lt;&gt;",'达人线索与合作'!$AC$2:$AC$301,"&gt;="&amp;$A16,'达人线索与合作'!$AC$2:$AC$301,"&lt;"&amp;$C16,'达人线索与合作'!$F$2:$F$301,$B16)))</f>
        <v/>
      </c>
      <c r="F16" s="9">
        <f>IF($A16="","",IF($B16="",COUNTIFS('达人线索与合作'!$B$2:$B$301,"&lt;&gt;",'达人线索与合作'!$AD$2:$AD$301,"&gt;="&amp;$A16,'达人线索与合作'!$AD$2:$AD$301,"&lt;"&amp;$C16),COUNTIFS('达人线索与合作'!$B$2:$B$301,"&lt;&gt;",'达人线索与合作'!$AD$2:$AD$301,"&gt;="&amp;$A16,'达人线索与合作'!$AD$2:$AD$301,"&lt;"&amp;$C16,'达人线索与合作'!$F$2:$F$301,$B16)))</f>
        <v/>
      </c>
      <c r="G16" s="9">
        <f>IF($A16="","",IF($B16="",COUNTIFS('寄样履约'!$A$2:$A$301,"&lt;&gt;",'寄样履约'!$H$2:$H$301,"&gt;="&amp;$A16,'寄样履约'!$H$2:$H$301,"&lt;"&amp;$C16),COUNTIFS('寄样履约'!$A$2:$A$301,"&lt;&gt;",'寄样履约'!$H$2:$H$301,"&gt;="&amp;$A16,'寄样履约'!$H$2:$H$301,"&lt;"&amp;$C16,'寄样履约'!$D$2:$D$301,$B16)))</f>
        <v/>
      </c>
      <c r="H16" s="9">
        <f>IF($A16="","",IF($B16="",COUNTIFS('寄样履约'!$A$2:$A$301,"&lt;&gt;",'寄样履约'!$K$2:$K$301,"&gt;="&amp;$A16,'寄样履约'!$K$2:$K$301,"&lt;"&amp;$C16),COUNTIFS('寄样履约'!$A$2:$A$301,"&lt;&gt;",'寄样履约'!$K$2:$K$301,"&gt;="&amp;$A16,'寄样履约'!$K$2:$K$301,"&lt;"&amp;$C16,'寄样履约'!$D$2:$D$301,$B16)))</f>
        <v/>
      </c>
      <c r="I16" s="9">
        <f>IF($A16="","",IF($B16="",SUMIFS('视频与订单复盘'!$AG$2:$AG$301,'视频与订单复盘'!$I$2:$I$301,"&gt;="&amp;$A16,'视频与订单复盘'!$I$2:$I$301,"&lt;"&amp;$C16),SUMIFS('视频与订单复盘'!$AG$2:$AG$301,'视频与订单复盘'!$I$2:$I$301,"&gt;="&amp;$A16,'视频与订单复盘'!$I$2:$I$301,"&lt;"&amp;$C16,'视频与订单复盘'!$H$2:$H$301,$B16)))</f>
        <v/>
      </c>
      <c r="J16" s="10">
        <f>IF($A16="","",IF($B16="",SUMIFS('视频与订单复盘'!$P$2:$P$301,'视频与订单复盘'!$I$2:$I$301,"&gt;="&amp;$A16,'视频与订单复盘'!$I$2:$I$301,"&lt;"&amp;$C16,'视频与订单复盘'!$AF$2:$AF$301,"可汇总"),SUMIFS('视频与订单复盘'!$P$2:$P$301,'视频与订单复盘'!$I$2:$I$301,"&gt;="&amp;$A16,'视频与订单复盘'!$I$2:$I$301,"&lt;"&amp;$C16,'视频与订单复盘'!$AF$2:$AF$301,"可汇总",'视频与订单复盘'!$H$2:$H$301,$B16)))</f>
        <v/>
      </c>
      <c r="K16" s="10">
        <f>IF($A16="","",IF($B16="",SUMIFS('视频与订单复盘'!$Y$2:$Y$301,'视频与订单复盘'!$I$2:$I$301,"&gt;="&amp;$A16,'视频与订单复盘'!$I$2:$I$301,"&lt;"&amp;$C16,'视频与订单复盘'!$AF$2:$AF$301,"可汇总"),SUMIFS('视频与订单复盘'!$Y$2:$Y$301,'视频与订单复盘'!$I$2:$I$301,"&gt;="&amp;$A16,'视频与订单复盘'!$I$2:$I$301,"&lt;"&amp;$C16,'视频与订单复盘'!$AF$2:$AF$301,"可汇总",'视频与订单复盘'!$H$2:$H$301,$B16)))</f>
        <v/>
      </c>
      <c r="L16" s="10">
        <f>IF($A16="","",IF($B16="",SUMIFS('寄样履约'!$R$2:$R$301,'寄样履约'!$A$2:$A$301,"&lt;&gt;",'寄样履约'!$H$2:$H$301,"&gt;="&amp;$A16,'寄样履约'!$H$2:$H$301,"&lt;"&amp;$C16),SUMIFS('寄样履约'!$R$2:$R$301,'寄样履约'!$A$2:$A$301,"&lt;&gt;",'寄样履约'!$H$2:$H$301,"&gt;="&amp;$A16,'寄样履约'!$H$2:$H$301,"&lt;"&amp;$C16,'寄样履约'!$D$2:$D$301,$B16)))</f>
        <v/>
      </c>
    </row>
    <row r="17" spans="3:12" ht="34" customHeight="1">
      <c r="C17" s="11">
        <f>IF(A17="","",A17+7)</f>
        <v/>
      </c>
      <c r="D17" s="9">
        <f>IF($A17="","",IF($B17="",COUNTIFS('达人线索与合作'!$A$2:$A$301,"&lt;&gt;",'达人线索与合作'!$U$2:$U$301,"&gt;="&amp;$A17,'达人线索与合作'!$U$2:$U$301,"&lt;"&amp;$C17),COUNTIFS('达人线索与合作'!$A$2:$A$301,"&lt;&gt;",'达人线索与合作'!$U$2:$U$301,"&gt;="&amp;$A17,'达人线索与合作'!$U$2:$U$301,"&lt;"&amp;$C17,'达人线索与合作'!$F$2:$F$301,$B17)))</f>
        <v/>
      </c>
      <c r="E17" s="9">
        <f>IF($A17="","",IF($B17="",COUNTIFS('达人线索与合作'!$A$2:$A$301,"&lt;&gt;",'达人线索与合作'!$AC$2:$AC$301,"&gt;="&amp;$A17,'达人线索与合作'!$AC$2:$AC$301,"&lt;"&amp;$C17),COUNTIFS('达人线索与合作'!$A$2:$A$301,"&lt;&gt;",'达人线索与合作'!$AC$2:$AC$301,"&gt;="&amp;$A17,'达人线索与合作'!$AC$2:$AC$301,"&lt;"&amp;$C17,'达人线索与合作'!$F$2:$F$301,$B17)))</f>
        <v/>
      </c>
      <c r="F17" s="9">
        <f>IF($A17="","",IF($B17="",COUNTIFS('达人线索与合作'!$B$2:$B$301,"&lt;&gt;",'达人线索与合作'!$AD$2:$AD$301,"&gt;="&amp;$A17,'达人线索与合作'!$AD$2:$AD$301,"&lt;"&amp;$C17),COUNTIFS('达人线索与合作'!$B$2:$B$301,"&lt;&gt;",'达人线索与合作'!$AD$2:$AD$301,"&gt;="&amp;$A17,'达人线索与合作'!$AD$2:$AD$301,"&lt;"&amp;$C17,'达人线索与合作'!$F$2:$F$301,$B17)))</f>
        <v/>
      </c>
      <c r="G17" s="9">
        <f>IF($A17="","",IF($B17="",COUNTIFS('寄样履约'!$A$2:$A$301,"&lt;&gt;",'寄样履约'!$H$2:$H$301,"&gt;="&amp;$A17,'寄样履约'!$H$2:$H$301,"&lt;"&amp;$C17),COUNTIFS('寄样履约'!$A$2:$A$301,"&lt;&gt;",'寄样履约'!$H$2:$H$301,"&gt;="&amp;$A17,'寄样履约'!$H$2:$H$301,"&lt;"&amp;$C17,'寄样履约'!$D$2:$D$301,$B17)))</f>
        <v/>
      </c>
      <c r="H17" s="9">
        <f>IF($A17="","",IF($B17="",COUNTIFS('寄样履约'!$A$2:$A$301,"&lt;&gt;",'寄样履约'!$K$2:$K$301,"&gt;="&amp;$A17,'寄样履约'!$K$2:$K$301,"&lt;"&amp;$C17),COUNTIFS('寄样履约'!$A$2:$A$301,"&lt;&gt;",'寄样履约'!$K$2:$K$301,"&gt;="&amp;$A17,'寄样履约'!$K$2:$K$301,"&lt;"&amp;$C17,'寄样履约'!$D$2:$D$301,$B17)))</f>
        <v/>
      </c>
      <c r="I17" s="9">
        <f>IF($A17="","",IF($B17="",SUMIFS('视频与订单复盘'!$AG$2:$AG$301,'视频与订单复盘'!$I$2:$I$301,"&gt;="&amp;$A17,'视频与订单复盘'!$I$2:$I$301,"&lt;"&amp;$C17),SUMIFS('视频与订单复盘'!$AG$2:$AG$301,'视频与订单复盘'!$I$2:$I$301,"&gt;="&amp;$A17,'视频与订单复盘'!$I$2:$I$301,"&lt;"&amp;$C17,'视频与订单复盘'!$H$2:$H$301,$B17)))</f>
        <v/>
      </c>
      <c r="J17" s="10">
        <f>IF($A17="","",IF($B17="",SUMIFS('视频与订单复盘'!$P$2:$P$301,'视频与订单复盘'!$I$2:$I$301,"&gt;="&amp;$A17,'视频与订单复盘'!$I$2:$I$301,"&lt;"&amp;$C17,'视频与订单复盘'!$AF$2:$AF$301,"可汇总"),SUMIFS('视频与订单复盘'!$P$2:$P$301,'视频与订单复盘'!$I$2:$I$301,"&gt;="&amp;$A17,'视频与订单复盘'!$I$2:$I$301,"&lt;"&amp;$C17,'视频与订单复盘'!$AF$2:$AF$301,"可汇总",'视频与订单复盘'!$H$2:$H$301,$B17)))</f>
        <v/>
      </c>
      <c r="K17" s="10">
        <f>IF($A17="","",IF($B17="",SUMIFS('视频与订单复盘'!$Y$2:$Y$301,'视频与订单复盘'!$I$2:$I$301,"&gt;="&amp;$A17,'视频与订单复盘'!$I$2:$I$301,"&lt;"&amp;$C17,'视频与订单复盘'!$AF$2:$AF$301,"可汇总"),SUMIFS('视频与订单复盘'!$Y$2:$Y$301,'视频与订单复盘'!$I$2:$I$301,"&gt;="&amp;$A17,'视频与订单复盘'!$I$2:$I$301,"&lt;"&amp;$C17,'视频与订单复盘'!$AF$2:$AF$301,"可汇总",'视频与订单复盘'!$H$2:$H$301,$B17)))</f>
        <v/>
      </c>
      <c r="L17" s="10">
        <f>IF($A17="","",IF($B17="",SUMIFS('寄样履约'!$R$2:$R$301,'寄样履约'!$A$2:$A$301,"&lt;&gt;",'寄样履约'!$H$2:$H$301,"&gt;="&amp;$A17,'寄样履约'!$H$2:$H$301,"&lt;"&amp;$C17),SUMIFS('寄样履约'!$R$2:$R$301,'寄样履约'!$A$2:$A$301,"&lt;&gt;",'寄样履约'!$H$2:$H$301,"&gt;="&amp;$A17,'寄样履约'!$H$2:$H$301,"&lt;"&amp;$C17,'寄样履约'!$D$2:$D$301,$B17)))</f>
        <v/>
      </c>
    </row>
    <row r="18" spans="3:12" ht="34" customHeight="1">
      <c r="C18" s="11">
        <f>IF(A18="","",A18+7)</f>
        <v/>
      </c>
      <c r="D18" s="9">
        <f>IF($A18="","",IF($B18="",COUNTIFS('达人线索与合作'!$A$2:$A$301,"&lt;&gt;",'达人线索与合作'!$U$2:$U$301,"&gt;="&amp;$A18,'达人线索与合作'!$U$2:$U$301,"&lt;"&amp;$C18),COUNTIFS('达人线索与合作'!$A$2:$A$301,"&lt;&gt;",'达人线索与合作'!$U$2:$U$301,"&gt;="&amp;$A18,'达人线索与合作'!$U$2:$U$301,"&lt;"&amp;$C18,'达人线索与合作'!$F$2:$F$301,$B18)))</f>
        <v/>
      </c>
      <c r="E18" s="9">
        <f>IF($A18="","",IF($B18="",COUNTIFS('达人线索与合作'!$A$2:$A$301,"&lt;&gt;",'达人线索与合作'!$AC$2:$AC$301,"&gt;="&amp;$A18,'达人线索与合作'!$AC$2:$AC$301,"&lt;"&amp;$C18),COUNTIFS('达人线索与合作'!$A$2:$A$301,"&lt;&gt;",'达人线索与合作'!$AC$2:$AC$301,"&gt;="&amp;$A18,'达人线索与合作'!$AC$2:$AC$301,"&lt;"&amp;$C18,'达人线索与合作'!$F$2:$F$301,$B18)))</f>
        <v/>
      </c>
      <c r="F18" s="9">
        <f>IF($A18="","",IF($B18="",COUNTIFS('达人线索与合作'!$B$2:$B$301,"&lt;&gt;",'达人线索与合作'!$AD$2:$AD$301,"&gt;="&amp;$A18,'达人线索与合作'!$AD$2:$AD$301,"&lt;"&amp;$C18),COUNTIFS('达人线索与合作'!$B$2:$B$301,"&lt;&gt;",'达人线索与合作'!$AD$2:$AD$301,"&gt;="&amp;$A18,'达人线索与合作'!$AD$2:$AD$301,"&lt;"&amp;$C18,'达人线索与合作'!$F$2:$F$301,$B18)))</f>
        <v/>
      </c>
      <c r="G18" s="9">
        <f>IF($A18="","",IF($B18="",COUNTIFS('寄样履约'!$A$2:$A$301,"&lt;&gt;",'寄样履约'!$H$2:$H$301,"&gt;="&amp;$A18,'寄样履约'!$H$2:$H$301,"&lt;"&amp;$C18),COUNTIFS('寄样履约'!$A$2:$A$301,"&lt;&gt;",'寄样履约'!$H$2:$H$301,"&gt;="&amp;$A18,'寄样履约'!$H$2:$H$301,"&lt;"&amp;$C18,'寄样履约'!$D$2:$D$301,$B18)))</f>
        <v/>
      </c>
      <c r="H18" s="9">
        <f>IF($A18="","",IF($B18="",COUNTIFS('寄样履约'!$A$2:$A$301,"&lt;&gt;",'寄样履约'!$K$2:$K$301,"&gt;="&amp;$A18,'寄样履约'!$K$2:$K$301,"&lt;"&amp;$C18),COUNTIFS('寄样履约'!$A$2:$A$301,"&lt;&gt;",'寄样履约'!$K$2:$K$301,"&gt;="&amp;$A18,'寄样履约'!$K$2:$K$301,"&lt;"&amp;$C18,'寄样履约'!$D$2:$D$301,$B18)))</f>
        <v/>
      </c>
      <c r="I18" s="9">
        <f>IF($A18="","",IF($B18="",SUMIFS('视频与订单复盘'!$AG$2:$AG$301,'视频与订单复盘'!$I$2:$I$301,"&gt;="&amp;$A18,'视频与订单复盘'!$I$2:$I$301,"&lt;"&amp;$C18),SUMIFS('视频与订单复盘'!$AG$2:$AG$301,'视频与订单复盘'!$I$2:$I$301,"&gt;="&amp;$A18,'视频与订单复盘'!$I$2:$I$301,"&lt;"&amp;$C18,'视频与订单复盘'!$H$2:$H$301,$B18)))</f>
        <v/>
      </c>
      <c r="J18" s="10">
        <f>IF($A18="","",IF($B18="",SUMIFS('视频与订单复盘'!$P$2:$P$301,'视频与订单复盘'!$I$2:$I$301,"&gt;="&amp;$A18,'视频与订单复盘'!$I$2:$I$301,"&lt;"&amp;$C18,'视频与订单复盘'!$AF$2:$AF$301,"可汇总"),SUMIFS('视频与订单复盘'!$P$2:$P$301,'视频与订单复盘'!$I$2:$I$301,"&gt;="&amp;$A18,'视频与订单复盘'!$I$2:$I$301,"&lt;"&amp;$C18,'视频与订单复盘'!$AF$2:$AF$301,"可汇总",'视频与订单复盘'!$H$2:$H$301,$B18)))</f>
        <v/>
      </c>
      <c r="K18" s="10">
        <f>IF($A18="","",IF($B18="",SUMIFS('视频与订单复盘'!$Y$2:$Y$301,'视频与订单复盘'!$I$2:$I$301,"&gt;="&amp;$A18,'视频与订单复盘'!$I$2:$I$301,"&lt;"&amp;$C18,'视频与订单复盘'!$AF$2:$AF$301,"可汇总"),SUMIFS('视频与订单复盘'!$Y$2:$Y$301,'视频与订单复盘'!$I$2:$I$301,"&gt;="&amp;$A18,'视频与订单复盘'!$I$2:$I$301,"&lt;"&amp;$C18,'视频与订单复盘'!$AF$2:$AF$301,"可汇总",'视频与订单复盘'!$H$2:$H$301,$B18)))</f>
        <v/>
      </c>
      <c r="L18" s="10">
        <f>IF($A18="","",IF($B18="",SUMIFS('寄样履约'!$R$2:$R$301,'寄样履约'!$A$2:$A$301,"&lt;&gt;",'寄样履约'!$H$2:$H$301,"&gt;="&amp;$A18,'寄样履约'!$H$2:$H$301,"&lt;"&amp;$C18),SUMIFS('寄样履约'!$R$2:$R$301,'寄样履约'!$A$2:$A$301,"&lt;&gt;",'寄样履约'!$H$2:$H$301,"&gt;="&amp;$A18,'寄样履约'!$H$2:$H$301,"&lt;"&amp;$C18,'寄样履约'!$D$2:$D$301,$B18)))</f>
        <v/>
      </c>
    </row>
    <row r="19" spans="3:12" ht="34" customHeight="1">
      <c r="C19" s="11">
        <f>IF(A19="","",A19+7)</f>
        <v/>
      </c>
      <c r="D19" s="9">
        <f>IF($A19="","",IF($B19="",COUNTIFS('达人线索与合作'!$A$2:$A$301,"&lt;&gt;",'达人线索与合作'!$U$2:$U$301,"&gt;="&amp;$A19,'达人线索与合作'!$U$2:$U$301,"&lt;"&amp;$C19),COUNTIFS('达人线索与合作'!$A$2:$A$301,"&lt;&gt;",'达人线索与合作'!$U$2:$U$301,"&gt;="&amp;$A19,'达人线索与合作'!$U$2:$U$301,"&lt;"&amp;$C19,'达人线索与合作'!$F$2:$F$301,$B19)))</f>
        <v/>
      </c>
      <c r="E19" s="9">
        <f>IF($A19="","",IF($B19="",COUNTIFS('达人线索与合作'!$A$2:$A$301,"&lt;&gt;",'达人线索与合作'!$AC$2:$AC$301,"&gt;="&amp;$A19,'达人线索与合作'!$AC$2:$AC$301,"&lt;"&amp;$C19),COUNTIFS('达人线索与合作'!$A$2:$A$301,"&lt;&gt;",'达人线索与合作'!$AC$2:$AC$301,"&gt;="&amp;$A19,'达人线索与合作'!$AC$2:$AC$301,"&lt;"&amp;$C19,'达人线索与合作'!$F$2:$F$301,$B19)))</f>
        <v/>
      </c>
      <c r="F19" s="9">
        <f>IF($A19="","",IF($B19="",COUNTIFS('达人线索与合作'!$B$2:$B$301,"&lt;&gt;",'达人线索与合作'!$AD$2:$AD$301,"&gt;="&amp;$A19,'达人线索与合作'!$AD$2:$AD$301,"&lt;"&amp;$C19),COUNTIFS('达人线索与合作'!$B$2:$B$301,"&lt;&gt;",'达人线索与合作'!$AD$2:$AD$301,"&gt;="&amp;$A19,'达人线索与合作'!$AD$2:$AD$301,"&lt;"&amp;$C19,'达人线索与合作'!$F$2:$F$301,$B19)))</f>
        <v/>
      </c>
      <c r="G19" s="9">
        <f>IF($A19="","",IF($B19="",COUNTIFS('寄样履约'!$A$2:$A$301,"&lt;&gt;",'寄样履约'!$H$2:$H$301,"&gt;="&amp;$A19,'寄样履约'!$H$2:$H$301,"&lt;"&amp;$C19),COUNTIFS('寄样履约'!$A$2:$A$301,"&lt;&gt;",'寄样履约'!$H$2:$H$301,"&gt;="&amp;$A19,'寄样履约'!$H$2:$H$301,"&lt;"&amp;$C19,'寄样履约'!$D$2:$D$301,$B19)))</f>
        <v/>
      </c>
      <c r="H19" s="9">
        <f>IF($A19="","",IF($B19="",COUNTIFS('寄样履约'!$A$2:$A$301,"&lt;&gt;",'寄样履约'!$K$2:$K$301,"&gt;="&amp;$A19,'寄样履约'!$K$2:$K$301,"&lt;"&amp;$C19),COUNTIFS('寄样履约'!$A$2:$A$301,"&lt;&gt;",'寄样履约'!$K$2:$K$301,"&gt;="&amp;$A19,'寄样履约'!$K$2:$K$301,"&lt;"&amp;$C19,'寄样履约'!$D$2:$D$301,$B19)))</f>
        <v/>
      </c>
      <c r="I19" s="9">
        <f>IF($A19="","",IF($B19="",SUMIFS('视频与订单复盘'!$AG$2:$AG$301,'视频与订单复盘'!$I$2:$I$301,"&gt;="&amp;$A19,'视频与订单复盘'!$I$2:$I$301,"&lt;"&amp;$C19),SUMIFS('视频与订单复盘'!$AG$2:$AG$301,'视频与订单复盘'!$I$2:$I$301,"&gt;="&amp;$A19,'视频与订单复盘'!$I$2:$I$301,"&lt;"&amp;$C19,'视频与订单复盘'!$H$2:$H$301,$B19)))</f>
        <v/>
      </c>
      <c r="J19" s="10">
        <f>IF($A19="","",IF($B19="",SUMIFS('视频与订单复盘'!$P$2:$P$301,'视频与订单复盘'!$I$2:$I$301,"&gt;="&amp;$A19,'视频与订单复盘'!$I$2:$I$301,"&lt;"&amp;$C19,'视频与订单复盘'!$AF$2:$AF$301,"可汇总"),SUMIFS('视频与订单复盘'!$P$2:$P$301,'视频与订单复盘'!$I$2:$I$301,"&gt;="&amp;$A19,'视频与订单复盘'!$I$2:$I$301,"&lt;"&amp;$C19,'视频与订单复盘'!$AF$2:$AF$301,"可汇总",'视频与订单复盘'!$H$2:$H$301,$B19)))</f>
        <v/>
      </c>
      <c r="K19" s="10">
        <f>IF($A19="","",IF($B19="",SUMIFS('视频与订单复盘'!$Y$2:$Y$301,'视频与订单复盘'!$I$2:$I$301,"&gt;="&amp;$A19,'视频与订单复盘'!$I$2:$I$301,"&lt;"&amp;$C19,'视频与订单复盘'!$AF$2:$AF$301,"可汇总"),SUMIFS('视频与订单复盘'!$Y$2:$Y$301,'视频与订单复盘'!$I$2:$I$301,"&gt;="&amp;$A19,'视频与订单复盘'!$I$2:$I$301,"&lt;"&amp;$C19,'视频与订单复盘'!$AF$2:$AF$301,"可汇总",'视频与订单复盘'!$H$2:$H$301,$B19)))</f>
        <v/>
      </c>
      <c r="L19" s="10">
        <f>IF($A19="","",IF($B19="",SUMIFS('寄样履约'!$R$2:$R$301,'寄样履约'!$A$2:$A$301,"&lt;&gt;",'寄样履约'!$H$2:$H$301,"&gt;="&amp;$A19,'寄样履约'!$H$2:$H$301,"&lt;"&amp;$C19),SUMIFS('寄样履约'!$R$2:$R$301,'寄样履约'!$A$2:$A$301,"&lt;&gt;",'寄样履约'!$H$2:$H$301,"&gt;="&amp;$A19,'寄样履约'!$H$2:$H$301,"&lt;"&amp;$C19,'寄样履约'!$D$2:$D$301,$B19)))</f>
        <v/>
      </c>
    </row>
    <row r="20" spans="3:12" ht="34" customHeight="1">
      <c r="C20" s="11">
        <f>IF(A20="","",A20+7)</f>
        <v/>
      </c>
      <c r="D20" s="9">
        <f>IF($A20="","",IF($B20="",COUNTIFS('达人线索与合作'!$A$2:$A$301,"&lt;&gt;",'达人线索与合作'!$U$2:$U$301,"&gt;="&amp;$A20,'达人线索与合作'!$U$2:$U$301,"&lt;"&amp;$C20),COUNTIFS('达人线索与合作'!$A$2:$A$301,"&lt;&gt;",'达人线索与合作'!$U$2:$U$301,"&gt;="&amp;$A20,'达人线索与合作'!$U$2:$U$301,"&lt;"&amp;$C20,'达人线索与合作'!$F$2:$F$301,$B20)))</f>
        <v/>
      </c>
      <c r="E20" s="9">
        <f>IF($A20="","",IF($B20="",COUNTIFS('达人线索与合作'!$A$2:$A$301,"&lt;&gt;",'达人线索与合作'!$AC$2:$AC$301,"&gt;="&amp;$A20,'达人线索与合作'!$AC$2:$AC$301,"&lt;"&amp;$C20),COUNTIFS('达人线索与合作'!$A$2:$A$301,"&lt;&gt;",'达人线索与合作'!$AC$2:$AC$301,"&gt;="&amp;$A20,'达人线索与合作'!$AC$2:$AC$301,"&lt;"&amp;$C20,'达人线索与合作'!$F$2:$F$301,$B20)))</f>
        <v/>
      </c>
      <c r="F20" s="9">
        <f>IF($A20="","",IF($B20="",COUNTIFS('达人线索与合作'!$B$2:$B$301,"&lt;&gt;",'达人线索与合作'!$AD$2:$AD$301,"&gt;="&amp;$A20,'达人线索与合作'!$AD$2:$AD$301,"&lt;"&amp;$C20),COUNTIFS('达人线索与合作'!$B$2:$B$301,"&lt;&gt;",'达人线索与合作'!$AD$2:$AD$301,"&gt;="&amp;$A20,'达人线索与合作'!$AD$2:$AD$301,"&lt;"&amp;$C20,'达人线索与合作'!$F$2:$F$301,$B20)))</f>
        <v/>
      </c>
      <c r="G20" s="9">
        <f>IF($A20="","",IF($B20="",COUNTIFS('寄样履约'!$A$2:$A$301,"&lt;&gt;",'寄样履约'!$H$2:$H$301,"&gt;="&amp;$A20,'寄样履约'!$H$2:$H$301,"&lt;"&amp;$C20),COUNTIFS('寄样履约'!$A$2:$A$301,"&lt;&gt;",'寄样履约'!$H$2:$H$301,"&gt;="&amp;$A20,'寄样履约'!$H$2:$H$301,"&lt;"&amp;$C20,'寄样履约'!$D$2:$D$301,$B20)))</f>
        <v/>
      </c>
      <c r="H20" s="9">
        <f>IF($A20="","",IF($B20="",COUNTIFS('寄样履约'!$A$2:$A$301,"&lt;&gt;",'寄样履约'!$K$2:$K$301,"&gt;="&amp;$A20,'寄样履约'!$K$2:$K$301,"&lt;"&amp;$C20),COUNTIFS('寄样履约'!$A$2:$A$301,"&lt;&gt;",'寄样履约'!$K$2:$K$301,"&gt;="&amp;$A20,'寄样履约'!$K$2:$K$301,"&lt;"&amp;$C20,'寄样履约'!$D$2:$D$301,$B20)))</f>
        <v/>
      </c>
      <c r="I20" s="9">
        <f>IF($A20="","",IF($B20="",SUMIFS('视频与订单复盘'!$AG$2:$AG$301,'视频与订单复盘'!$I$2:$I$301,"&gt;="&amp;$A20,'视频与订单复盘'!$I$2:$I$301,"&lt;"&amp;$C20),SUMIFS('视频与订单复盘'!$AG$2:$AG$301,'视频与订单复盘'!$I$2:$I$301,"&gt;="&amp;$A20,'视频与订单复盘'!$I$2:$I$301,"&lt;"&amp;$C20,'视频与订单复盘'!$H$2:$H$301,$B20)))</f>
        <v/>
      </c>
      <c r="J20" s="10">
        <f>IF($A20="","",IF($B20="",SUMIFS('视频与订单复盘'!$P$2:$P$301,'视频与订单复盘'!$I$2:$I$301,"&gt;="&amp;$A20,'视频与订单复盘'!$I$2:$I$301,"&lt;"&amp;$C20,'视频与订单复盘'!$AF$2:$AF$301,"可汇总"),SUMIFS('视频与订单复盘'!$P$2:$P$301,'视频与订单复盘'!$I$2:$I$301,"&gt;="&amp;$A20,'视频与订单复盘'!$I$2:$I$301,"&lt;"&amp;$C20,'视频与订单复盘'!$AF$2:$AF$301,"可汇总",'视频与订单复盘'!$H$2:$H$301,$B20)))</f>
        <v/>
      </c>
      <c r="K20" s="10">
        <f>IF($A20="","",IF($B20="",SUMIFS('视频与订单复盘'!$Y$2:$Y$301,'视频与订单复盘'!$I$2:$I$301,"&gt;="&amp;$A20,'视频与订单复盘'!$I$2:$I$301,"&lt;"&amp;$C20,'视频与订单复盘'!$AF$2:$AF$301,"可汇总"),SUMIFS('视频与订单复盘'!$Y$2:$Y$301,'视频与订单复盘'!$I$2:$I$301,"&gt;="&amp;$A20,'视频与订单复盘'!$I$2:$I$301,"&lt;"&amp;$C20,'视频与订单复盘'!$AF$2:$AF$301,"可汇总",'视频与订单复盘'!$H$2:$H$301,$B20)))</f>
        <v/>
      </c>
      <c r="L20" s="10">
        <f>IF($A20="","",IF($B20="",SUMIFS('寄样履约'!$R$2:$R$301,'寄样履约'!$A$2:$A$301,"&lt;&gt;",'寄样履约'!$H$2:$H$301,"&gt;="&amp;$A20,'寄样履约'!$H$2:$H$301,"&lt;"&amp;$C20),SUMIFS('寄样履约'!$R$2:$R$301,'寄样履约'!$A$2:$A$301,"&lt;&gt;",'寄样履约'!$H$2:$H$301,"&gt;="&amp;$A20,'寄样履约'!$H$2:$H$301,"&lt;"&amp;$C20,'寄样履约'!$D$2:$D$301,$B20)))</f>
        <v/>
      </c>
    </row>
    <row r="21" spans="3:12" ht="34" customHeight="1">
      <c r="C21" s="11">
        <f>IF(A21="","",A21+7)</f>
        <v/>
      </c>
      <c r="D21" s="9">
        <f>IF($A21="","",IF($B21="",COUNTIFS('达人线索与合作'!$A$2:$A$301,"&lt;&gt;",'达人线索与合作'!$U$2:$U$301,"&gt;="&amp;$A21,'达人线索与合作'!$U$2:$U$301,"&lt;"&amp;$C21),COUNTIFS('达人线索与合作'!$A$2:$A$301,"&lt;&gt;",'达人线索与合作'!$U$2:$U$301,"&gt;="&amp;$A21,'达人线索与合作'!$U$2:$U$301,"&lt;"&amp;$C21,'达人线索与合作'!$F$2:$F$301,$B21)))</f>
        <v/>
      </c>
      <c r="E21" s="9">
        <f>IF($A21="","",IF($B21="",COUNTIFS('达人线索与合作'!$A$2:$A$301,"&lt;&gt;",'达人线索与合作'!$AC$2:$AC$301,"&gt;="&amp;$A21,'达人线索与合作'!$AC$2:$AC$301,"&lt;"&amp;$C21),COUNTIFS('达人线索与合作'!$A$2:$A$301,"&lt;&gt;",'达人线索与合作'!$AC$2:$AC$301,"&gt;="&amp;$A21,'达人线索与合作'!$AC$2:$AC$301,"&lt;"&amp;$C21,'达人线索与合作'!$F$2:$F$301,$B21)))</f>
        <v/>
      </c>
      <c r="F21" s="9">
        <f>IF($A21="","",IF($B21="",COUNTIFS('达人线索与合作'!$B$2:$B$301,"&lt;&gt;",'达人线索与合作'!$AD$2:$AD$301,"&gt;="&amp;$A21,'达人线索与合作'!$AD$2:$AD$301,"&lt;"&amp;$C21),COUNTIFS('达人线索与合作'!$B$2:$B$301,"&lt;&gt;",'达人线索与合作'!$AD$2:$AD$301,"&gt;="&amp;$A21,'达人线索与合作'!$AD$2:$AD$301,"&lt;"&amp;$C21,'达人线索与合作'!$F$2:$F$301,$B21)))</f>
        <v/>
      </c>
      <c r="G21" s="9">
        <f>IF($A21="","",IF($B21="",COUNTIFS('寄样履约'!$A$2:$A$301,"&lt;&gt;",'寄样履约'!$H$2:$H$301,"&gt;="&amp;$A21,'寄样履约'!$H$2:$H$301,"&lt;"&amp;$C21),COUNTIFS('寄样履约'!$A$2:$A$301,"&lt;&gt;",'寄样履约'!$H$2:$H$301,"&gt;="&amp;$A21,'寄样履约'!$H$2:$H$301,"&lt;"&amp;$C21,'寄样履约'!$D$2:$D$301,$B21)))</f>
        <v/>
      </c>
      <c r="H21" s="9">
        <f>IF($A21="","",IF($B21="",COUNTIFS('寄样履约'!$A$2:$A$301,"&lt;&gt;",'寄样履约'!$K$2:$K$301,"&gt;="&amp;$A21,'寄样履约'!$K$2:$K$301,"&lt;"&amp;$C21),COUNTIFS('寄样履约'!$A$2:$A$301,"&lt;&gt;",'寄样履约'!$K$2:$K$301,"&gt;="&amp;$A21,'寄样履约'!$K$2:$K$301,"&lt;"&amp;$C21,'寄样履约'!$D$2:$D$301,$B21)))</f>
        <v/>
      </c>
      <c r="I21" s="9">
        <f>IF($A21="","",IF($B21="",SUMIFS('视频与订单复盘'!$AG$2:$AG$301,'视频与订单复盘'!$I$2:$I$301,"&gt;="&amp;$A21,'视频与订单复盘'!$I$2:$I$301,"&lt;"&amp;$C21),SUMIFS('视频与订单复盘'!$AG$2:$AG$301,'视频与订单复盘'!$I$2:$I$301,"&gt;="&amp;$A21,'视频与订单复盘'!$I$2:$I$301,"&lt;"&amp;$C21,'视频与订单复盘'!$H$2:$H$301,$B21)))</f>
        <v/>
      </c>
      <c r="J21" s="10">
        <f>IF($A21="","",IF($B21="",SUMIFS('视频与订单复盘'!$P$2:$P$301,'视频与订单复盘'!$I$2:$I$301,"&gt;="&amp;$A21,'视频与订单复盘'!$I$2:$I$301,"&lt;"&amp;$C21,'视频与订单复盘'!$AF$2:$AF$301,"可汇总"),SUMIFS('视频与订单复盘'!$P$2:$P$301,'视频与订单复盘'!$I$2:$I$301,"&gt;="&amp;$A21,'视频与订单复盘'!$I$2:$I$301,"&lt;"&amp;$C21,'视频与订单复盘'!$AF$2:$AF$301,"可汇总",'视频与订单复盘'!$H$2:$H$301,$B21)))</f>
        <v/>
      </c>
      <c r="K21" s="10">
        <f>IF($A21="","",IF($B21="",SUMIFS('视频与订单复盘'!$Y$2:$Y$301,'视频与订单复盘'!$I$2:$I$301,"&gt;="&amp;$A21,'视频与订单复盘'!$I$2:$I$301,"&lt;"&amp;$C21,'视频与订单复盘'!$AF$2:$AF$301,"可汇总"),SUMIFS('视频与订单复盘'!$Y$2:$Y$301,'视频与订单复盘'!$I$2:$I$301,"&gt;="&amp;$A21,'视频与订单复盘'!$I$2:$I$301,"&lt;"&amp;$C21,'视频与订单复盘'!$AF$2:$AF$301,"可汇总",'视频与订单复盘'!$H$2:$H$301,$B21)))</f>
        <v/>
      </c>
      <c r="L21" s="10">
        <f>IF($A21="","",IF($B21="",SUMIFS('寄样履约'!$R$2:$R$301,'寄样履约'!$A$2:$A$301,"&lt;&gt;",'寄样履约'!$H$2:$H$301,"&gt;="&amp;$A21,'寄样履约'!$H$2:$H$301,"&lt;"&amp;$C21),SUMIFS('寄样履约'!$R$2:$R$301,'寄样履约'!$A$2:$A$301,"&lt;&gt;",'寄样履约'!$H$2:$H$301,"&gt;="&amp;$A21,'寄样履约'!$H$2:$H$301,"&lt;"&amp;$C21,'寄样履约'!$D$2:$D$301,$B21)))</f>
        <v/>
      </c>
    </row>
    <row r="22" spans="3:12" ht="34" customHeight="1">
      <c r="C22" s="11">
        <f>IF(A22="","",A22+7)</f>
        <v/>
      </c>
      <c r="D22" s="9">
        <f>IF($A22="","",IF($B22="",COUNTIFS('达人线索与合作'!$A$2:$A$301,"&lt;&gt;",'达人线索与合作'!$U$2:$U$301,"&gt;="&amp;$A22,'达人线索与合作'!$U$2:$U$301,"&lt;"&amp;$C22),COUNTIFS('达人线索与合作'!$A$2:$A$301,"&lt;&gt;",'达人线索与合作'!$U$2:$U$301,"&gt;="&amp;$A22,'达人线索与合作'!$U$2:$U$301,"&lt;"&amp;$C22,'达人线索与合作'!$F$2:$F$301,$B22)))</f>
        <v/>
      </c>
      <c r="E22" s="9">
        <f>IF($A22="","",IF($B22="",COUNTIFS('达人线索与合作'!$A$2:$A$301,"&lt;&gt;",'达人线索与合作'!$AC$2:$AC$301,"&gt;="&amp;$A22,'达人线索与合作'!$AC$2:$AC$301,"&lt;"&amp;$C22),COUNTIFS('达人线索与合作'!$A$2:$A$301,"&lt;&gt;",'达人线索与合作'!$AC$2:$AC$301,"&gt;="&amp;$A22,'达人线索与合作'!$AC$2:$AC$301,"&lt;"&amp;$C22,'达人线索与合作'!$F$2:$F$301,$B22)))</f>
        <v/>
      </c>
      <c r="F22" s="9">
        <f>IF($A22="","",IF($B22="",COUNTIFS('达人线索与合作'!$B$2:$B$301,"&lt;&gt;",'达人线索与合作'!$AD$2:$AD$301,"&gt;="&amp;$A22,'达人线索与合作'!$AD$2:$AD$301,"&lt;"&amp;$C22),COUNTIFS('达人线索与合作'!$B$2:$B$301,"&lt;&gt;",'达人线索与合作'!$AD$2:$AD$301,"&gt;="&amp;$A22,'达人线索与合作'!$AD$2:$AD$301,"&lt;"&amp;$C22,'达人线索与合作'!$F$2:$F$301,$B22)))</f>
        <v/>
      </c>
      <c r="G22" s="9">
        <f>IF($A22="","",IF($B22="",COUNTIFS('寄样履约'!$A$2:$A$301,"&lt;&gt;",'寄样履约'!$H$2:$H$301,"&gt;="&amp;$A22,'寄样履约'!$H$2:$H$301,"&lt;"&amp;$C22),COUNTIFS('寄样履约'!$A$2:$A$301,"&lt;&gt;",'寄样履约'!$H$2:$H$301,"&gt;="&amp;$A22,'寄样履约'!$H$2:$H$301,"&lt;"&amp;$C22,'寄样履约'!$D$2:$D$301,$B22)))</f>
        <v/>
      </c>
      <c r="H22" s="9">
        <f>IF($A22="","",IF($B22="",COUNTIFS('寄样履约'!$A$2:$A$301,"&lt;&gt;",'寄样履约'!$K$2:$K$301,"&gt;="&amp;$A22,'寄样履约'!$K$2:$K$301,"&lt;"&amp;$C22),COUNTIFS('寄样履约'!$A$2:$A$301,"&lt;&gt;",'寄样履约'!$K$2:$K$301,"&gt;="&amp;$A22,'寄样履约'!$K$2:$K$301,"&lt;"&amp;$C22,'寄样履约'!$D$2:$D$301,$B22)))</f>
        <v/>
      </c>
      <c r="I22" s="9">
        <f>IF($A22="","",IF($B22="",SUMIFS('视频与订单复盘'!$AG$2:$AG$301,'视频与订单复盘'!$I$2:$I$301,"&gt;="&amp;$A22,'视频与订单复盘'!$I$2:$I$301,"&lt;"&amp;$C22),SUMIFS('视频与订单复盘'!$AG$2:$AG$301,'视频与订单复盘'!$I$2:$I$301,"&gt;="&amp;$A22,'视频与订单复盘'!$I$2:$I$301,"&lt;"&amp;$C22,'视频与订单复盘'!$H$2:$H$301,$B22)))</f>
        <v/>
      </c>
      <c r="J22" s="10">
        <f>IF($A22="","",IF($B22="",SUMIFS('视频与订单复盘'!$P$2:$P$301,'视频与订单复盘'!$I$2:$I$301,"&gt;="&amp;$A22,'视频与订单复盘'!$I$2:$I$301,"&lt;"&amp;$C22,'视频与订单复盘'!$AF$2:$AF$301,"可汇总"),SUMIFS('视频与订单复盘'!$P$2:$P$301,'视频与订单复盘'!$I$2:$I$301,"&gt;="&amp;$A22,'视频与订单复盘'!$I$2:$I$301,"&lt;"&amp;$C22,'视频与订单复盘'!$AF$2:$AF$301,"可汇总",'视频与订单复盘'!$H$2:$H$301,$B22)))</f>
        <v/>
      </c>
      <c r="K22" s="10">
        <f>IF($A22="","",IF($B22="",SUMIFS('视频与订单复盘'!$Y$2:$Y$301,'视频与订单复盘'!$I$2:$I$301,"&gt;="&amp;$A22,'视频与订单复盘'!$I$2:$I$301,"&lt;"&amp;$C22,'视频与订单复盘'!$AF$2:$AF$301,"可汇总"),SUMIFS('视频与订单复盘'!$Y$2:$Y$301,'视频与订单复盘'!$I$2:$I$301,"&gt;="&amp;$A22,'视频与订单复盘'!$I$2:$I$301,"&lt;"&amp;$C22,'视频与订单复盘'!$AF$2:$AF$301,"可汇总",'视频与订单复盘'!$H$2:$H$301,$B22)))</f>
        <v/>
      </c>
      <c r="L22" s="10">
        <f>IF($A22="","",IF($B22="",SUMIFS('寄样履约'!$R$2:$R$301,'寄样履约'!$A$2:$A$301,"&lt;&gt;",'寄样履约'!$H$2:$H$301,"&gt;="&amp;$A22,'寄样履约'!$H$2:$H$301,"&lt;"&amp;$C22),SUMIFS('寄样履约'!$R$2:$R$301,'寄样履约'!$A$2:$A$301,"&lt;&gt;",'寄样履约'!$H$2:$H$301,"&gt;="&amp;$A22,'寄样履约'!$H$2:$H$301,"&lt;"&amp;$C22,'寄样履约'!$D$2:$D$301,$B22)))</f>
        <v/>
      </c>
    </row>
    <row r="23" spans="3:12" ht="34" customHeight="1">
      <c r="C23" s="11">
        <f>IF(A23="","",A23+7)</f>
        <v/>
      </c>
      <c r="D23" s="9">
        <f>IF($A23="","",IF($B23="",COUNTIFS('达人线索与合作'!$A$2:$A$301,"&lt;&gt;",'达人线索与合作'!$U$2:$U$301,"&gt;="&amp;$A23,'达人线索与合作'!$U$2:$U$301,"&lt;"&amp;$C23),COUNTIFS('达人线索与合作'!$A$2:$A$301,"&lt;&gt;",'达人线索与合作'!$U$2:$U$301,"&gt;="&amp;$A23,'达人线索与合作'!$U$2:$U$301,"&lt;"&amp;$C23,'达人线索与合作'!$F$2:$F$301,$B23)))</f>
        <v/>
      </c>
      <c r="E23" s="9">
        <f>IF($A23="","",IF($B23="",COUNTIFS('达人线索与合作'!$A$2:$A$301,"&lt;&gt;",'达人线索与合作'!$AC$2:$AC$301,"&gt;="&amp;$A23,'达人线索与合作'!$AC$2:$AC$301,"&lt;"&amp;$C23),COUNTIFS('达人线索与合作'!$A$2:$A$301,"&lt;&gt;",'达人线索与合作'!$AC$2:$AC$301,"&gt;="&amp;$A23,'达人线索与合作'!$AC$2:$AC$301,"&lt;"&amp;$C23,'达人线索与合作'!$F$2:$F$301,$B23)))</f>
        <v/>
      </c>
      <c r="F23" s="9">
        <f>IF($A23="","",IF($B23="",COUNTIFS('达人线索与合作'!$B$2:$B$301,"&lt;&gt;",'达人线索与合作'!$AD$2:$AD$301,"&gt;="&amp;$A23,'达人线索与合作'!$AD$2:$AD$301,"&lt;"&amp;$C23),COUNTIFS('达人线索与合作'!$B$2:$B$301,"&lt;&gt;",'达人线索与合作'!$AD$2:$AD$301,"&gt;="&amp;$A23,'达人线索与合作'!$AD$2:$AD$301,"&lt;"&amp;$C23,'达人线索与合作'!$F$2:$F$301,$B23)))</f>
        <v/>
      </c>
      <c r="G23" s="9">
        <f>IF($A23="","",IF($B23="",COUNTIFS('寄样履约'!$A$2:$A$301,"&lt;&gt;",'寄样履约'!$H$2:$H$301,"&gt;="&amp;$A23,'寄样履约'!$H$2:$H$301,"&lt;"&amp;$C23),COUNTIFS('寄样履约'!$A$2:$A$301,"&lt;&gt;",'寄样履约'!$H$2:$H$301,"&gt;="&amp;$A23,'寄样履约'!$H$2:$H$301,"&lt;"&amp;$C23,'寄样履约'!$D$2:$D$301,$B23)))</f>
        <v/>
      </c>
      <c r="H23" s="9">
        <f>IF($A23="","",IF($B23="",COUNTIFS('寄样履约'!$A$2:$A$301,"&lt;&gt;",'寄样履约'!$K$2:$K$301,"&gt;="&amp;$A23,'寄样履约'!$K$2:$K$301,"&lt;"&amp;$C23),COUNTIFS('寄样履约'!$A$2:$A$301,"&lt;&gt;",'寄样履约'!$K$2:$K$301,"&gt;="&amp;$A23,'寄样履约'!$K$2:$K$301,"&lt;"&amp;$C23,'寄样履约'!$D$2:$D$301,$B23)))</f>
        <v/>
      </c>
      <c r="I23" s="9">
        <f>IF($A23="","",IF($B23="",SUMIFS('视频与订单复盘'!$AG$2:$AG$301,'视频与订单复盘'!$I$2:$I$301,"&gt;="&amp;$A23,'视频与订单复盘'!$I$2:$I$301,"&lt;"&amp;$C23),SUMIFS('视频与订单复盘'!$AG$2:$AG$301,'视频与订单复盘'!$I$2:$I$301,"&gt;="&amp;$A23,'视频与订单复盘'!$I$2:$I$301,"&lt;"&amp;$C23,'视频与订单复盘'!$H$2:$H$301,$B23)))</f>
        <v/>
      </c>
      <c r="J23" s="10">
        <f>IF($A23="","",IF($B23="",SUMIFS('视频与订单复盘'!$P$2:$P$301,'视频与订单复盘'!$I$2:$I$301,"&gt;="&amp;$A23,'视频与订单复盘'!$I$2:$I$301,"&lt;"&amp;$C23,'视频与订单复盘'!$AF$2:$AF$301,"可汇总"),SUMIFS('视频与订单复盘'!$P$2:$P$301,'视频与订单复盘'!$I$2:$I$301,"&gt;="&amp;$A23,'视频与订单复盘'!$I$2:$I$301,"&lt;"&amp;$C23,'视频与订单复盘'!$AF$2:$AF$301,"可汇总",'视频与订单复盘'!$H$2:$H$301,$B23)))</f>
        <v/>
      </c>
      <c r="K23" s="10">
        <f>IF($A23="","",IF($B23="",SUMIFS('视频与订单复盘'!$Y$2:$Y$301,'视频与订单复盘'!$I$2:$I$301,"&gt;="&amp;$A23,'视频与订单复盘'!$I$2:$I$301,"&lt;"&amp;$C23,'视频与订单复盘'!$AF$2:$AF$301,"可汇总"),SUMIFS('视频与订单复盘'!$Y$2:$Y$301,'视频与订单复盘'!$I$2:$I$301,"&gt;="&amp;$A23,'视频与订单复盘'!$I$2:$I$301,"&lt;"&amp;$C23,'视频与订单复盘'!$AF$2:$AF$301,"可汇总",'视频与订单复盘'!$H$2:$H$301,$B23)))</f>
        <v/>
      </c>
      <c r="L23" s="10">
        <f>IF($A23="","",IF($B23="",SUMIFS('寄样履约'!$R$2:$R$301,'寄样履约'!$A$2:$A$301,"&lt;&gt;",'寄样履约'!$H$2:$H$301,"&gt;="&amp;$A23,'寄样履约'!$H$2:$H$301,"&lt;"&amp;$C23),SUMIFS('寄样履约'!$R$2:$R$301,'寄样履约'!$A$2:$A$301,"&lt;&gt;",'寄样履约'!$H$2:$H$301,"&gt;="&amp;$A23,'寄样履约'!$H$2:$H$301,"&lt;"&amp;$C23,'寄样履约'!$D$2:$D$301,$B23)))</f>
        <v/>
      </c>
    </row>
    <row r="24" spans="3:12" ht="34" customHeight="1">
      <c r="C24" s="11">
        <f>IF(A24="","",A24+7)</f>
        <v/>
      </c>
      <c r="D24" s="9">
        <f>IF($A24="","",IF($B24="",COUNTIFS('达人线索与合作'!$A$2:$A$301,"&lt;&gt;",'达人线索与合作'!$U$2:$U$301,"&gt;="&amp;$A24,'达人线索与合作'!$U$2:$U$301,"&lt;"&amp;$C24),COUNTIFS('达人线索与合作'!$A$2:$A$301,"&lt;&gt;",'达人线索与合作'!$U$2:$U$301,"&gt;="&amp;$A24,'达人线索与合作'!$U$2:$U$301,"&lt;"&amp;$C24,'达人线索与合作'!$F$2:$F$301,$B24)))</f>
        <v/>
      </c>
      <c r="E24" s="9">
        <f>IF($A24="","",IF($B24="",COUNTIFS('达人线索与合作'!$A$2:$A$301,"&lt;&gt;",'达人线索与合作'!$AC$2:$AC$301,"&gt;="&amp;$A24,'达人线索与合作'!$AC$2:$AC$301,"&lt;"&amp;$C24),COUNTIFS('达人线索与合作'!$A$2:$A$301,"&lt;&gt;",'达人线索与合作'!$AC$2:$AC$301,"&gt;="&amp;$A24,'达人线索与合作'!$AC$2:$AC$301,"&lt;"&amp;$C24,'达人线索与合作'!$F$2:$F$301,$B24)))</f>
        <v/>
      </c>
      <c r="F24" s="9">
        <f>IF($A24="","",IF($B24="",COUNTIFS('达人线索与合作'!$B$2:$B$301,"&lt;&gt;",'达人线索与合作'!$AD$2:$AD$301,"&gt;="&amp;$A24,'达人线索与合作'!$AD$2:$AD$301,"&lt;"&amp;$C24),COUNTIFS('达人线索与合作'!$B$2:$B$301,"&lt;&gt;",'达人线索与合作'!$AD$2:$AD$301,"&gt;="&amp;$A24,'达人线索与合作'!$AD$2:$AD$301,"&lt;"&amp;$C24,'达人线索与合作'!$F$2:$F$301,$B24)))</f>
        <v/>
      </c>
      <c r="G24" s="9">
        <f>IF($A24="","",IF($B24="",COUNTIFS('寄样履约'!$A$2:$A$301,"&lt;&gt;",'寄样履约'!$H$2:$H$301,"&gt;="&amp;$A24,'寄样履约'!$H$2:$H$301,"&lt;"&amp;$C24),COUNTIFS('寄样履约'!$A$2:$A$301,"&lt;&gt;",'寄样履约'!$H$2:$H$301,"&gt;="&amp;$A24,'寄样履约'!$H$2:$H$301,"&lt;"&amp;$C24,'寄样履约'!$D$2:$D$301,$B24)))</f>
        <v/>
      </c>
      <c r="H24" s="9">
        <f>IF($A24="","",IF($B24="",COUNTIFS('寄样履约'!$A$2:$A$301,"&lt;&gt;",'寄样履约'!$K$2:$K$301,"&gt;="&amp;$A24,'寄样履约'!$K$2:$K$301,"&lt;"&amp;$C24),COUNTIFS('寄样履约'!$A$2:$A$301,"&lt;&gt;",'寄样履约'!$K$2:$K$301,"&gt;="&amp;$A24,'寄样履约'!$K$2:$K$301,"&lt;"&amp;$C24,'寄样履约'!$D$2:$D$301,$B24)))</f>
        <v/>
      </c>
      <c r="I24" s="9">
        <f>IF($A24="","",IF($B24="",SUMIFS('视频与订单复盘'!$AG$2:$AG$301,'视频与订单复盘'!$I$2:$I$301,"&gt;="&amp;$A24,'视频与订单复盘'!$I$2:$I$301,"&lt;"&amp;$C24),SUMIFS('视频与订单复盘'!$AG$2:$AG$301,'视频与订单复盘'!$I$2:$I$301,"&gt;="&amp;$A24,'视频与订单复盘'!$I$2:$I$301,"&lt;"&amp;$C24,'视频与订单复盘'!$H$2:$H$301,$B24)))</f>
        <v/>
      </c>
      <c r="J24" s="10">
        <f>IF($A24="","",IF($B24="",SUMIFS('视频与订单复盘'!$P$2:$P$301,'视频与订单复盘'!$I$2:$I$301,"&gt;="&amp;$A24,'视频与订单复盘'!$I$2:$I$301,"&lt;"&amp;$C24,'视频与订单复盘'!$AF$2:$AF$301,"可汇总"),SUMIFS('视频与订单复盘'!$P$2:$P$301,'视频与订单复盘'!$I$2:$I$301,"&gt;="&amp;$A24,'视频与订单复盘'!$I$2:$I$301,"&lt;"&amp;$C24,'视频与订单复盘'!$AF$2:$AF$301,"可汇总",'视频与订单复盘'!$H$2:$H$301,$B24)))</f>
        <v/>
      </c>
      <c r="K24" s="10">
        <f>IF($A24="","",IF($B24="",SUMIFS('视频与订单复盘'!$Y$2:$Y$301,'视频与订单复盘'!$I$2:$I$301,"&gt;="&amp;$A24,'视频与订单复盘'!$I$2:$I$301,"&lt;"&amp;$C24,'视频与订单复盘'!$AF$2:$AF$301,"可汇总"),SUMIFS('视频与订单复盘'!$Y$2:$Y$301,'视频与订单复盘'!$I$2:$I$301,"&gt;="&amp;$A24,'视频与订单复盘'!$I$2:$I$301,"&lt;"&amp;$C24,'视频与订单复盘'!$AF$2:$AF$301,"可汇总",'视频与订单复盘'!$H$2:$H$301,$B24)))</f>
        <v/>
      </c>
      <c r="L24" s="10">
        <f>IF($A24="","",IF($B24="",SUMIFS('寄样履约'!$R$2:$R$301,'寄样履约'!$A$2:$A$301,"&lt;&gt;",'寄样履约'!$H$2:$H$301,"&gt;="&amp;$A24,'寄样履约'!$H$2:$H$301,"&lt;"&amp;$C24),SUMIFS('寄样履约'!$R$2:$R$301,'寄样履约'!$A$2:$A$301,"&lt;&gt;",'寄样履约'!$H$2:$H$301,"&gt;="&amp;$A24,'寄样履约'!$H$2:$H$301,"&lt;"&amp;$C24,'寄样履约'!$D$2:$D$301,$B24)))</f>
        <v/>
      </c>
    </row>
    <row r="25" spans="3:12" ht="34" customHeight="1">
      <c r="C25" s="11">
        <f>IF(A25="","",A25+7)</f>
        <v/>
      </c>
      <c r="D25" s="9">
        <f>IF($A25="","",IF($B25="",COUNTIFS('达人线索与合作'!$A$2:$A$301,"&lt;&gt;",'达人线索与合作'!$U$2:$U$301,"&gt;="&amp;$A25,'达人线索与合作'!$U$2:$U$301,"&lt;"&amp;$C25),COUNTIFS('达人线索与合作'!$A$2:$A$301,"&lt;&gt;",'达人线索与合作'!$U$2:$U$301,"&gt;="&amp;$A25,'达人线索与合作'!$U$2:$U$301,"&lt;"&amp;$C25,'达人线索与合作'!$F$2:$F$301,$B25)))</f>
        <v/>
      </c>
      <c r="E25" s="9">
        <f>IF($A25="","",IF($B25="",COUNTIFS('达人线索与合作'!$A$2:$A$301,"&lt;&gt;",'达人线索与合作'!$AC$2:$AC$301,"&gt;="&amp;$A25,'达人线索与合作'!$AC$2:$AC$301,"&lt;"&amp;$C25),COUNTIFS('达人线索与合作'!$A$2:$A$301,"&lt;&gt;",'达人线索与合作'!$AC$2:$AC$301,"&gt;="&amp;$A25,'达人线索与合作'!$AC$2:$AC$301,"&lt;"&amp;$C25,'达人线索与合作'!$F$2:$F$301,$B25)))</f>
        <v/>
      </c>
      <c r="F25" s="9">
        <f>IF($A25="","",IF($B25="",COUNTIFS('达人线索与合作'!$B$2:$B$301,"&lt;&gt;",'达人线索与合作'!$AD$2:$AD$301,"&gt;="&amp;$A25,'达人线索与合作'!$AD$2:$AD$301,"&lt;"&amp;$C25),COUNTIFS('达人线索与合作'!$B$2:$B$301,"&lt;&gt;",'达人线索与合作'!$AD$2:$AD$301,"&gt;="&amp;$A25,'达人线索与合作'!$AD$2:$AD$301,"&lt;"&amp;$C25,'达人线索与合作'!$F$2:$F$301,$B25)))</f>
        <v/>
      </c>
      <c r="G25" s="9">
        <f>IF($A25="","",IF($B25="",COUNTIFS('寄样履约'!$A$2:$A$301,"&lt;&gt;",'寄样履约'!$H$2:$H$301,"&gt;="&amp;$A25,'寄样履约'!$H$2:$H$301,"&lt;"&amp;$C25),COUNTIFS('寄样履约'!$A$2:$A$301,"&lt;&gt;",'寄样履约'!$H$2:$H$301,"&gt;="&amp;$A25,'寄样履约'!$H$2:$H$301,"&lt;"&amp;$C25,'寄样履约'!$D$2:$D$301,$B25)))</f>
        <v/>
      </c>
      <c r="H25" s="9">
        <f>IF($A25="","",IF($B25="",COUNTIFS('寄样履约'!$A$2:$A$301,"&lt;&gt;",'寄样履约'!$K$2:$K$301,"&gt;="&amp;$A25,'寄样履约'!$K$2:$K$301,"&lt;"&amp;$C25),COUNTIFS('寄样履约'!$A$2:$A$301,"&lt;&gt;",'寄样履约'!$K$2:$K$301,"&gt;="&amp;$A25,'寄样履约'!$K$2:$K$301,"&lt;"&amp;$C25,'寄样履约'!$D$2:$D$301,$B25)))</f>
        <v/>
      </c>
      <c r="I25" s="9">
        <f>IF($A25="","",IF($B25="",SUMIFS('视频与订单复盘'!$AG$2:$AG$301,'视频与订单复盘'!$I$2:$I$301,"&gt;="&amp;$A25,'视频与订单复盘'!$I$2:$I$301,"&lt;"&amp;$C25),SUMIFS('视频与订单复盘'!$AG$2:$AG$301,'视频与订单复盘'!$I$2:$I$301,"&gt;="&amp;$A25,'视频与订单复盘'!$I$2:$I$301,"&lt;"&amp;$C25,'视频与订单复盘'!$H$2:$H$301,$B25)))</f>
        <v/>
      </c>
      <c r="J25" s="10">
        <f>IF($A25="","",IF($B25="",SUMIFS('视频与订单复盘'!$P$2:$P$301,'视频与订单复盘'!$I$2:$I$301,"&gt;="&amp;$A25,'视频与订单复盘'!$I$2:$I$301,"&lt;"&amp;$C25,'视频与订单复盘'!$AF$2:$AF$301,"可汇总"),SUMIFS('视频与订单复盘'!$P$2:$P$301,'视频与订单复盘'!$I$2:$I$301,"&gt;="&amp;$A25,'视频与订单复盘'!$I$2:$I$301,"&lt;"&amp;$C25,'视频与订单复盘'!$AF$2:$AF$301,"可汇总",'视频与订单复盘'!$H$2:$H$301,$B25)))</f>
        <v/>
      </c>
      <c r="K25" s="10">
        <f>IF($A25="","",IF($B25="",SUMIFS('视频与订单复盘'!$Y$2:$Y$301,'视频与订单复盘'!$I$2:$I$301,"&gt;="&amp;$A25,'视频与订单复盘'!$I$2:$I$301,"&lt;"&amp;$C25,'视频与订单复盘'!$AF$2:$AF$301,"可汇总"),SUMIFS('视频与订单复盘'!$Y$2:$Y$301,'视频与订单复盘'!$I$2:$I$301,"&gt;="&amp;$A25,'视频与订单复盘'!$I$2:$I$301,"&lt;"&amp;$C25,'视频与订单复盘'!$AF$2:$AF$301,"可汇总",'视频与订单复盘'!$H$2:$H$301,$B25)))</f>
        <v/>
      </c>
      <c r="L25" s="10">
        <f>IF($A25="","",IF($B25="",SUMIFS('寄样履约'!$R$2:$R$301,'寄样履约'!$A$2:$A$301,"&lt;&gt;",'寄样履约'!$H$2:$H$301,"&gt;="&amp;$A25,'寄样履约'!$H$2:$H$301,"&lt;"&amp;$C25),SUMIFS('寄样履约'!$R$2:$R$301,'寄样履约'!$A$2:$A$301,"&lt;&gt;",'寄样履约'!$H$2:$H$301,"&gt;="&amp;$A25,'寄样履约'!$H$2:$H$301,"&lt;"&amp;$C25,'寄样履约'!$D$2:$D$301,$B25)))</f>
        <v/>
      </c>
    </row>
    <row r="26" spans="3:12" ht="34" customHeight="1">
      <c r="C26" s="11">
        <f>IF(A26="","",A26+7)</f>
        <v/>
      </c>
      <c r="D26" s="9">
        <f>IF($A26="","",IF($B26="",COUNTIFS('达人线索与合作'!$A$2:$A$301,"&lt;&gt;",'达人线索与合作'!$U$2:$U$301,"&gt;="&amp;$A26,'达人线索与合作'!$U$2:$U$301,"&lt;"&amp;$C26),COUNTIFS('达人线索与合作'!$A$2:$A$301,"&lt;&gt;",'达人线索与合作'!$U$2:$U$301,"&gt;="&amp;$A26,'达人线索与合作'!$U$2:$U$301,"&lt;"&amp;$C26,'达人线索与合作'!$F$2:$F$301,$B26)))</f>
        <v/>
      </c>
      <c r="E26" s="9">
        <f>IF($A26="","",IF($B26="",COUNTIFS('达人线索与合作'!$A$2:$A$301,"&lt;&gt;",'达人线索与合作'!$AC$2:$AC$301,"&gt;="&amp;$A26,'达人线索与合作'!$AC$2:$AC$301,"&lt;"&amp;$C26),COUNTIFS('达人线索与合作'!$A$2:$A$301,"&lt;&gt;",'达人线索与合作'!$AC$2:$AC$301,"&gt;="&amp;$A26,'达人线索与合作'!$AC$2:$AC$301,"&lt;"&amp;$C26,'达人线索与合作'!$F$2:$F$301,$B26)))</f>
        <v/>
      </c>
      <c r="F26" s="9">
        <f>IF($A26="","",IF($B26="",COUNTIFS('达人线索与合作'!$B$2:$B$301,"&lt;&gt;",'达人线索与合作'!$AD$2:$AD$301,"&gt;="&amp;$A26,'达人线索与合作'!$AD$2:$AD$301,"&lt;"&amp;$C26),COUNTIFS('达人线索与合作'!$B$2:$B$301,"&lt;&gt;",'达人线索与合作'!$AD$2:$AD$301,"&gt;="&amp;$A26,'达人线索与合作'!$AD$2:$AD$301,"&lt;"&amp;$C26,'达人线索与合作'!$F$2:$F$301,$B26)))</f>
        <v/>
      </c>
      <c r="G26" s="9">
        <f>IF($A26="","",IF($B26="",COUNTIFS('寄样履约'!$A$2:$A$301,"&lt;&gt;",'寄样履约'!$H$2:$H$301,"&gt;="&amp;$A26,'寄样履约'!$H$2:$H$301,"&lt;"&amp;$C26),COUNTIFS('寄样履约'!$A$2:$A$301,"&lt;&gt;",'寄样履约'!$H$2:$H$301,"&gt;="&amp;$A26,'寄样履约'!$H$2:$H$301,"&lt;"&amp;$C26,'寄样履约'!$D$2:$D$301,$B26)))</f>
        <v/>
      </c>
      <c r="H26" s="9">
        <f>IF($A26="","",IF($B26="",COUNTIFS('寄样履约'!$A$2:$A$301,"&lt;&gt;",'寄样履约'!$K$2:$K$301,"&gt;="&amp;$A26,'寄样履约'!$K$2:$K$301,"&lt;"&amp;$C26),COUNTIFS('寄样履约'!$A$2:$A$301,"&lt;&gt;",'寄样履约'!$K$2:$K$301,"&gt;="&amp;$A26,'寄样履约'!$K$2:$K$301,"&lt;"&amp;$C26,'寄样履约'!$D$2:$D$301,$B26)))</f>
        <v/>
      </c>
      <c r="I26" s="9">
        <f>IF($A26="","",IF($B26="",SUMIFS('视频与订单复盘'!$AG$2:$AG$301,'视频与订单复盘'!$I$2:$I$301,"&gt;="&amp;$A26,'视频与订单复盘'!$I$2:$I$301,"&lt;"&amp;$C26),SUMIFS('视频与订单复盘'!$AG$2:$AG$301,'视频与订单复盘'!$I$2:$I$301,"&gt;="&amp;$A26,'视频与订单复盘'!$I$2:$I$301,"&lt;"&amp;$C26,'视频与订单复盘'!$H$2:$H$301,$B26)))</f>
        <v/>
      </c>
      <c r="J26" s="10">
        <f>IF($A26="","",IF($B26="",SUMIFS('视频与订单复盘'!$P$2:$P$301,'视频与订单复盘'!$I$2:$I$301,"&gt;="&amp;$A26,'视频与订单复盘'!$I$2:$I$301,"&lt;"&amp;$C26,'视频与订单复盘'!$AF$2:$AF$301,"可汇总"),SUMIFS('视频与订单复盘'!$P$2:$P$301,'视频与订单复盘'!$I$2:$I$301,"&gt;="&amp;$A26,'视频与订单复盘'!$I$2:$I$301,"&lt;"&amp;$C26,'视频与订单复盘'!$AF$2:$AF$301,"可汇总",'视频与订单复盘'!$H$2:$H$301,$B26)))</f>
        <v/>
      </c>
      <c r="K26" s="10">
        <f>IF($A26="","",IF($B26="",SUMIFS('视频与订单复盘'!$Y$2:$Y$301,'视频与订单复盘'!$I$2:$I$301,"&gt;="&amp;$A26,'视频与订单复盘'!$I$2:$I$301,"&lt;"&amp;$C26,'视频与订单复盘'!$AF$2:$AF$301,"可汇总"),SUMIFS('视频与订单复盘'!$Y$2:$Y$301,'视频与订单复盘'!$I$2:$I$301,"&gt;="&amp;$A26,'视频与订单复盘'!$I$2:$I$301,"&lt;"&amp;$C26,'视频与订单复盘'!$AF$2:$AF$301,"可汇总",'视频与订单复盘'!$H$2:$H$301,$B26)))</f>
        <v/>
      </c>
      <c r="L26" s="10">
        <f>IF($A26="","",IF($B26="",SUMIFS('寄样履约'!$R$2:$R$301,'寄样履约'!$A$2:$A$301,"&lt;&gt;",'寄样履约'!$H$2:$H$301,"&gt;="&amp;$A26,'寄样履约'!$H$2:$H$301,"&lt;"&amp;$C26),SUMIFS('寄样履约'!$R$2:$R$301,'寄样履约'!$A$2:$A$301,"&lt;&gt;",'寄样履约'!$H$2:$H$301,"&gt;="&amp;$A26,'寄样履约'!$H$2:$H$301,"&lt;"&amp;$C26,'寄样履约'!$D$2:$D$301,$B26)))</f>
        <v/>
      </c>
    </row>
    <row r="27" spans="3:12" ht="34" customHeight="1">
      <c r="C27" s="11">
        <f>IF(A27="","",A27+7)</f>
        <v/>
      </c>
      <c r="D27" s="9">
        <f>IF($A27="","",IF($B27="",COUNTIFS('达人线索与合作'!$A$2:$A$301,"&lt;&gt;",'达人线索与合作'!$U$2:$U$301,"&gt;="&amp;$A27,'达人线索与合作'!$U$2:$U$301,"&lt;"&amp;$C27),COUNTIFS('达人线索与合作'!$A$2:$A$301,"&lt;&gt;",'达人线索与合作'!$U$2:$U$301,"&gt;="&amp;$A27,'达人线索与合作'!$U$2:$U$301,"&lt;"&amp;$C27,'达人线索与合作'!$F$2:$F$301,$B27)))</f>
        <v/>
      </c>
      <c r="E27" s="9">
        <f>IF($A27="","",IF($B27="",COUNTIFS('达人线索与合作'!$A$2:$A$301,"&lt;&gt;",'达人线索与合作'!$AC$2:$AC$301,"&gt;="&amp;$A27,'达人线索与合作'!$AC$2:$AC$301,"&lt;"&amp;$C27),COUNTIFS('达人线索与合作'!$A$2:$A$301,"&lt;&gt;",'达人线索与合作'!$AC$2:$AC$301,"&gt;="&amp;$A27,'达人线索与合作'!$AC$2:$AC$301,"&lt;"&amp;$C27,'达人线索与合作'!$F$2:$F$301,$B27)))</f>
        <v/>
      </c>
      <c r="F27" s="9">
        <f>IF($A27="","",IF($B27="",COUNTIFS('达人线索与合作'!$B$2:$B$301,"&lt;&gt;",'达人线索与合作'!$AD$2:$AD$301,"&gt;="&amp;$A27,'达人线索与合作'!$AD$2:$AD$301,"&lt;"&amp;$C27),COUNTIFS('达人线索与合作'!$B$2:$B$301,"&lt;&gt;",'达人线索与合作'!$AD$2:$AD$301,"&gt;="&amp;$A27,'达人线索与合作'!$AD$2:$AD$301,"&lt;"&amp;$C27,'达人线索与合作'!$F$2:$F$301,$B27)))</f>
        <v/>
      </c>
      <c r="G27" s="9">
        <f>IF($A27="","",IF($B27="",COUNTIFS('寄样履约'!$A$2:$A$301,"&lt;&gt;",'寄样履约'!$H$2:$H$301,"&gt;="&amp;$A27,'寄样履约'!$H$2:$H$301,"&lt;"&amp;$C27),COUNTIFS('寄样履约'!$A$2:$A$301,"&lt;&gt;",'寄样履约'!$H$2:$H$301,"&gt;="&amp;$A27,'寄样履约'!$H$2:$H$301,"&lt;"&amp;$C27,'寄样履约'!$D$2:$D$301,$B27)))</f>
        <v/>
      </c>
      <c r="H27" s="9">
        <f>IF($A27="","",IF($B27="",COUNTIFS('寄样履约'!$A$2:$A$301,"&lt;&gt;",'寄样履约'!$K$2:$K$301,"&gt;="&amp;$A27,'寄样履约'!$K$2:$K$301,"&lt;"&amp;$C27),COUNTIFS('寄样履约'!$A$2:$A$301,"&lt;&gt;",'寄样履约'!$K$2:$K$301,"&gt;="&amp;$A27,'寄样履约'!$K$2:$K$301,"&lt;"&amp;$C27,'寄样履约'!$D$2:$D$301,$B27)))</f>
        <v/>
      </c>
      <c r="I27" s="9">
        <f>IF($A27="","",IF($B27="",SUMIFS('视频与订单复盘'!$AG$2:$AG$301,'视频与订单复盘'!$I$2:$I$301,"&gt;="&amp;$A27,'视频与订单复盘'!$I$2:$I$301,"&lt;"&amp;$C27),SUMIFS('视频与订单复盘'!$AG$2:$AG$301,'视频与订单复盘'!$I$2:$I$301,"&gt;="&amp;$A27,'视频与订单复盘'!$I$2:$I$301,"&lt;"&amp;$C27,'视频与订单复盘'!$H$2:$H$301,$B27)))</f>
        <v/>
      </c>
      <c r="J27" s="10">
        <f>IF($A27="","",IF($B27="",SUMIFS('视频与订单复盘'!$P$2:$P$301,'视频与订单复盘'!$I$2:$I$301,"&gt;="&amp;$A27,'视频与订单复盘'!$I$2:$I$301,"&lt;"&amp;$C27,'视频与订单复盘'!$AF$2:$AF$301,"可汇总"),SUMIFS('视频与订单复盘'!$P$2:$P$301,'视频与订单复盘'!$I$2:$I$301,"&gt;="&amp;$A27,'视频与订单复盘'!$I$2:$I$301,"&lt;"&amp;$C27,'视频与订单复盘'!$AF$2:$AF$301,"可汇总",'视频与订单复盘'!$H$2:$H$301,$B27)))</f>
        <v/>
      </c>
      <c r="K27" s="10">
        <f>IF($A27="","",IF($B27="",SUMIFS('视频与订单复盘'!$Y$2:$Y$301,'视频与订单复盘'!$I$2:$I$301,"&gt;="&amp;$A27,'视频与订单复盘'!$I$2:$I$301,"&lt;"&amp;$C27,'视频与订单复盘'!$AF$2:$AF$301,"可汇总"),SUMIFS('视频与订单复盘'!$Y$2:$Y$301,'视频与订单复盘'!$I$2:$I$301,"&gt;="&amp;$A27,'视频与订单复盘'!$I$2:$I$301,"&lt;"&amp;$C27,'视频与订单复盘'!$AF$2:$AF$301,"可汇总",'视频与订单复盘'!$H$2:$H$301,$B27)))</f>
        <v/>
      </c>
      <c r="L27" s="10">
        <f>IF($A27="","",IF($B27="",SUMIFS('寄样履约'!$R$2:$R$301,'寄样履约'!$A$2:$A$301,"&lt;&gt;",'寄样履约'!$H$2:$H$301,"&gt;="&amp;$A27,'寄样履约'!$H$2:$H$301,"&lt;"&amp;$C27),SUMIFS('寄样履约'!$R$2:$R$301,'寄样履约'!$A$2:$A$301,"&lt;&gt;",'寄样履约'!$H$2:$H$301,"&gt;="&amp;$A27,'寄样履约'!$H$2:$H$301,"&lt;"&amp;$C27,'寄样履约'!$D$2:$D$301,$B27)))</f>
        <v/>
      </c>
    </row>
    <row r="28" spans="3:12" ht="34" customHeight="1">
      <c r="C28" s="11">
        <f>IF(A28="","",A28+7)</f>
        <v/>
      </c>
      <c r="D28" s="9">
        <f>IF($A28="","",IF($B28="",COUNTIFS('达人线索与合作'!$A$2:$A$301,"&lt;&gt;",'达人线索与合作'!$U$2:$U$301,"&gt;="&amp;$A28,'达人线索与合作'!$U$2:$U$301,"&lt;"&amp;$C28),COUNTIFS('达人线索与合作'!$A$2:$A$301,"&lt;&gt;",'达人线索与合作'!$U$2:$U$301,"&gt;="&amp;$A28,'达人线索与合作'!$U$2:$U$301,"&lt;"&amp;$C28,'达人线索与合作'!$F$2:$F$301,$B28)))</f>
        <v/>
      </c>
      <c r="E28" s="9">
        <f>IF($A28="","",IF($B28="",COUNTIFS('达人线索与合作'!$A$2:$A$301,"&lt;&gt;",'达人线索与合作'!$AC$2:$AC$301,"&gt;="&amp;$A28,'达人线索与合作'!$AC$2:$AC$301,"&lt;"&amp;$C28),COUNTIFS('达人线索与合作'!$A$2:$A$301,"&lt;&gt;",'达人线索与合作'!$AC$2:$AC$301,"&gt;="&amp;$A28,'达人线索与合作'!$AC$2:$AC$301,"&lt;"&amp;$C28,'达人线索与合作'!$F$2:$F$301,$B28)))</f>
        <v/>
      </c>
      <c r="F28" s="9">
        <f>IF($A28="","",IF($B28="",COUNTIFS('达人线索与合作'!$B$2:$B$301,"&lt;&gt;",'达人线索与合作'!$AD$2:$AD$301,"&gt;="&amp;$A28,'达人线索与合作'!$AD$2:$AD$301,"&lt;"&amp;$C28),COUNTIFS('达人线索与合作'!$B$2:$B$301,"&lt;&gt;",'达人线索与合作'!$AD$2:$AD$301,"&gt;="&amp;$A28,'达人线索与合作'!$AD$2:$AD$301,"&lt;"&amp;$C28,'达人线索与合作'!$F$2:$F$301,$B28)))</f>
        <v/>
      </c>
      <c r="G28" s="9">
        <f>IF($A28="","",IF($B28="",COUNTIFS('寄样履约'!$A$2:$A$301,"&lt;&gt;",'寄样履约'!$H$2:$H$301,"&gt;="&amp;$A28,'寄样履约'!$H$2:$H$301,"&lt;"&amp;$C28),COUNTIFS('寄样履约'!$A$2:$A$301,"&lt;&gt;",'寄样履约'!$H$2:$H$301,"&gt;="&amp;$A28,'寄样履约'!$H$2:$H$301,"&lt;"&amp;$C28,'寄样履约'!$D$2:$D$301,$B28)))</f>
        <v/>
      </c>
      <c r="H28" s="9">
        <f>IF($A28="","",IF($B28="",COUNTIFS('寄样履约'!$A$2:$A$301,"&lt;&gt;",'寄样履约'!$K$2:$K$301,"&gt;="&amp;$A28,'寄样履约'!$K$2:$K$301,"&lt;"&amp;$C28),COUNTIFS('寄样履约'!$A$2:$A$301,"&lt;&gt;",'寄样履约'!$K$2:$K$301,"&gt;="&amp;$A28,'寄样履约'!$K$2:$K$301,"&lt;"&amp;$C28,'寄样履约'!$D$2:$D$301,$B28)))</f>
        <v/>
      </c>
      <c r="I28" s="9">
        <f>IF($A28="","",IF($B28="",SUMIFS('视频与订单复盘'!$AG$2:$AG$301,'视频与订单复盘'!$I$2:$I$301,"&gt;="&amp;$A28,'视频与订单复盘'!$I$2:$I$301,"&lt;"&amp;$C28),SUMIFS('视频与订单复盘'!$AG$2:$AG$301,'视频与订单复盘'!$I$2:$I$301,"&gt;="&amp;$A28,'视频与订单复盘'!$I$2:$I$301,"&lt;"&amp;$C28,'视频与订单复盘'!$H$2:$H$301,$B28)))</f>
        <v/>
      </c>
      <c r="J28" s="10">
        <f>IF($A28="","",IF($B28="",SUMIFS('视频与订单复盘'!$P$2:$P$301,'视频与订单复盘'!$I$2:$I$301,"&gt;="&amp;$A28,'视频与订单复盘'!$I$2:$I$301,"&lt;"&amp;$C28,'视频与订单复盘'!$AF$2:$AF$301,"可汇总"),SUMIFS('视频与订单复盘'!$P$2:$P$301,'视频与订单复盘'!$I$2:$I$301,"&gt;="&amp;$A28,'视频与订单复盘'!$I$2:$I$301,"&lt;"&amp;$C28,'视频与订单复盘'!$AF$2:$AF$301,"可汇总",'视频与订单复盘'!$H$2:$H$301,$B28)))</f>
        <v/>
      </c>
      <c r="K28" s="10">
        <f>IF($A28="","",IF($B28="",SUMIFS('视频与订单复盘'!$Y$2:$Y$301,'视频与订单复盘'!$I$2:$I$301,"&gt;="&amp;$A28,'视频与订单复盘'!$I$2:$I$301,"&lt;"&amp;$C28,'视频与订单复盘'!$AF$2:$AF$301,"可汇总"),SUMIFS('视频与订单复盘'!$Y$2:$Y$301,'视频与订单复盘'!$I$2:$I$301,"&gt;="&amp;$A28,'视频与订单复盘'!$I$2:$I$301,"&lt;"&amp;$C28,'视频与订单复盘'!$AF$2:$AF$301,"可汇总",'视频与订单复盘'!$H$2:$H$301,$B28)))</f>
        <v/>
      </c>
      <c r="L28" s="10">
        <f>IF($A28="","",IF($B28="",SUMIFS('寄样履约'!$R$2:$R$301,'寄样履约'!$A$2:$A$301,"&lt;&gt;",'寄样履约'!$H$2:$H$301,"&gt;="&amp;$A28,'寄样履约'!$H$2:$H$301,"&lt;"&amp;$C28),SUMIFS('寄样履约'!$R$2:$R$301,'寄样履约'!$A$2:$A$301,"&lt;&gt;",'寄样履约'!$H$2:$H$301,"&gt;="&amp;$A28,'寄样履约'!$H$2:$H$301,"&lt;"&amp;$C28,'寄样履约'!$D$2:$D$301,$B28)))</f>
        <v/>
      </c>
    </row>
    <row r="29" spans="3:12" ht="34" customHeight="1">
      <c r="C29" s="11">
        <f>IF(A29="","",A29+7)</f>
        <v/>
      </c>
      <c r="D29" s="9">
        <f>IF($A29="","",IF($B29="",COUNTIFS('达人线索与合作'!$A$2:$A$301,"&lt;&gt;",'达人线索与合作'!$U$2:$U$301,"&gt;="&amp;$A29,'达人线索与合作'!$U$2:$U$301,"&lt;"&amp;$C29),COUNTIFS('达人线索与合作'!$A$2:$A$301,"&lt;&gt;",'达人线索与合作'!$U$2:$U$301,"&gt;="&amp;$A29,'达人线索与合作'!$U$2:$U$301,"&lt;"&amp;$C29,'达人线索与合作'!$F$2:$F$301,$B29)))</f>
        <v/>
      </c>
      <c r="E29" s="9">
        <f>IF($A29="","",IF($B29="",COUNTIFS('达人线索与合作'!$A$2:$A$301,"&lt;&gt;",'达人线索与合作'!$AC$2:$AC$301,"&gt;="&amp;$A29,'达人线索与合作'!$AC$2:$AC$301,"&lt;"&amp;$C29),COUNTIFS('达人线索与合作'!$A$2:$A$301,"&lt;&gt;",'达人线索与合作'!$AC$2:$AC$301,"&gt;="&amp;$A29,'达人线索与合作'!$AC$2:$AC$301,"&lt;"&amp;$C29,'达人线索与合作'!$F$2:$F$301,$B29)))</f>
        <v/>
      </c>
      <c r="F29" s="9">
        <f>IF($A29="","",IF($B29="",COUNTIFS('达人线索与合作'!$B$2:$B$301,"&lt;&gt;",'达人线索与合作'!$AD$2:$AD$301,"&gt;="&amp;$A29,'达人线索与合作'!$AD$2:$AD$301,"&lt;"&amp;$C29),COUNTIFS('达人线索与合作'!$B$2:$B$301,"&lt;&gt;",'达人线索与合作'!$AD$2:$AD$301,"&gt;="&amp;$A29,'达人线索与合作'!$AD$2:$AD$301,"&lt;"&amp;$C29,'达人线索与合作'!$F$2:$F$301,$B29)))</f>
        <v/>
      </c>
      <c r="G29" s="9">
        <f>IF($A29="","",IF($B29="",COUNTIFS('寄样履约'!$A$2:$A$301,"&lt;&gt;",'寄样履约'!$H$2:$H$301,"&gt;="&amp;$A29,'寄样履约'!$H$2:$H$301,"&lt;"&amp;$C29),COUNTIFS('寄样履约'!$A$2:$A$301,"&lt;&gt;",'寄样履约'!$H$2:$H$301,"&gt;="&amp;$A29,'寄样履约'!$H$2:$H$301,"&lt;"&amp;$C29,'寄样履约'!$D$2:$D$301,$B29)))</f>
        <v/>
      </c>
      <c r="H29" s="9">
        <f>IF($A29="","",IF($B29="",COUNTIFS('寄样履约'!$A$2:$A$301,"&lt;&gt;",'寄样履约'!$K$2:$K$301,"&gt;="&amp;$A29,'寄样履约'!$K$2:$K$301,"&lt;"&amp;$C29),COUNTIFS('寄样履约'!$A$2:$A$301,"&lt;&gt;",'寄样履约'!$K$2:$K$301,"&gt;="&amp;$A29,'寄样履约'!$K$2:$K$301,"&lt;"&amp;$C29,'寄样履约'!$D$2:$D$301,$B29)))</f>
        <v/>
      </c>
      <c r="I29" s="9">
        <f>IF($A29="","",IF($B29="",SUMIFS('视频与订单复盘'!$AG$2:$AG$301,'视频与订单复盘'!$I$2:$I$301,"&gt;="&amp;$A29,'视频与订单复盘'!$I$2:$I$301,"&lt;"&amp;$C29),SUMIFS('视频与订单复盘'!$AG$2:$AG$301,'视频与订单复盘'!$I$2:$I$301,"&gt;="&amp;$A29,'视频与订单复盘'!$I$2:$I$301,"&lt;"&amp;$C29,'视频与订单复盘'!$H$2:$H$301,$B29)))</f>
        <v/>
      </c>
      <c r="J29" s="10">
        <f>IF($A29="","",IF($B29="",SUMIFS('视频与订单复盘'!$P$2:$P$301,'视频与订单复盘'!$I$2:$I$301,"&gt;="&amp;$A29,'视频与订单复盘'!$I$2:$I$301,"&lt;"&amp;$C29,'视频与订单复盘'!$AF$2:$AF$301,"可汇总"),SUMIFS('视频与订单复盘'!$P$2:$P$301,'视频与订单复盘'!$I$2:$I$301,"&gt;="&amp;$A29,'视频与订单复盘'!$I$2:$I$301,"&lt;"&amp;$C29,'视频与订单复盘'!$AF$2:$AF$301,"可汇总",'视频与订单复盘'!$H$2:$H$301,$B29)))</f>
        <v/>
      </c>
      <c r="K29" s="10">
        <f>IF($A29="","",IF($B29="",SUMIFS('视频与订单复盘'!$Y$2:$Y$301,'视频与订单复盘'!$I$2:$I$301,"&gt;="&amp;$A29,'视频与订单复盘'!$I$2:$I$301,"&lt;"&amp;$C29,'视频与订单复盘'!$AF$2:$AF$301,"可汇总"),SUMIFS('视频与订单复盘'!$Y$2:$Y$301,'视频与订单复盘'!$I$2:$I$301,"&gt;="&amp;$A29,'视频与订单复盘'!$I$2:$I$301,"&lt;"&amp;$C29,'视频与订单复盘'!$AF$2:$AF$301,"可汇总",'视频与订单复盘'!$H$2:$H$301,$B29)))</f>
        <v/>
      </c>
      <c r="L29" s="10">
        <f>IF($A29="","",IF($B29="",SUMIFS('寄样履约'!$R$2:$R$301,'寄样履约'!$A$2:$A$301,"&lt;&gt;",'寄样履约'!$H$2:$H$301,"&gt;="&amp;$A29,'寄样履约'!$H$2:$H$301,"&lt;"&amp;$C29),SUMIFS('寄样履约'!$R$2:$R$301,'寄样履约'!$A$2:$A$301,"&lt;&gt;",'寄样履约'!$H$2:$H$301,"&gt;="&amp;$A29,'寄样履约'!$H$2:$H$301,"&lt;"&amp;$C29,'寄样履约'!$D$2:$D$301,$B29)))</f>
        <v/>
      </c>
    </row>
    <row r="30" spans="3:12" ht="34" customHeight="1">
      <c r="C30" s="11">
        <f>IF(A30="","",A30+7)</f>
        <v/>
      </c>
      <c r="D30" s="9">
        <f>IF($A30="","",IF($B30="",COUNTIFS('达人线索与合作'!$A$2:$A$301,"&lt;&gt;",'达人线索与合作'!$U$2:$U$301,"&gt;="&amp;$A30,'达人线索与合作'!$U$2:$U$301,"&lt;"&amp;$C30),COUNTIFS('达人线索与合作'!$A$2:$A$301,"&lt;&gt;",'达人线索与合作'!$U$2:$U$301,"&gt;="&amp;$A30,'达人线索与合作'!$U$2:$U$301,"&lt;"&amp;$C30,'达人线索与合作'!$F$2:$F$301,$B30)))</f>
        <v/>
      </c>
      <c r="E30" s="9">
        <f>IF($A30="","",IF($B30="",COUNTIFS('达人线索与合作'!$A$2:$A$301,"&lt;&gt;",'达人线索与合作'!$AC$2:$AC$301,"&gt;="&amp;$A30,'达人线索与合作'!$AC$2:$AC$301,"&lt;"&amp;$C30),COUNTIFS('达人线索与合作'!$A$2:$A$301,"&lt;&gt;",'达人线索与合作'!$AC$2:$AC$301,"&gt;="&amp;$A30,'达人线索与合作'!$AC$2:$AC$301,"&lt;"&amp;$C30,'达人线索与合作'!$F$2:$F$301,$B30)))</f>
        <v/>
      </c>
      <c r="F30" s="9">
        <f>IF($A30="","",IF($B30="",COUNTIFS('达人线索与合作'!$B$2:$B$301,"&lt;&gt;",'达人线索与合作'!$AD$2:$AD$301,"&gt;="&amp;$A30,'达人线索与合作'!$AD$2:$AD$301,"&lt;"&amp;$C30),COUNTIFS('达人线索与合作'!$B$2:$B$301,"&lt;&gt;",'达人线索与合作'!$AD$2:$AD$301,"&gt;="&amp;$A30,'达人线索与合作'!$AD$2:$AD$301,"&lt;"&amp;$C30,'达人线索与合作'!$F$2:$F$301,$B30)))</f>
        <v/>
      </c>
      <c r="G30" s="9">
        <f>IF($A30="","",IF($B30="",COUNTIFS('寄样履约'!$A$2:$A$301,"&lt;&gt;",'寄样履约'!$H$2:$H$301,"&gt;="&amp;$A30,'寄样履约'!$H$2:$H$301,"&lt;"&amp;$C30),COUNTIFS('寄样履约'!$A$2:$A$301,"&lt;&gt;",'寄样履约'!$H$2:$H$301,"&gt;="&amp;$A30,'寄样履约'!$H$2:$H$301,"&lt;"&amp;$C30,'寄样履约'!$D$2:$D$301,$B30)))</f>
        <v/>
      </c>
      <c r="H30" s="9">
        <f>IF($A30="","",IF($B30="",COUNTIFS('寄样履约'!$A$2:$A$301,"&lt;&gt;",'寄样履约'!$K$2:$K$301,"&gt;="&amp;$A30,'寄样履约'!$K$2:$K$301,"&lt;"&amp;$C30),COUNTIFS('寄样履约'!$A$2:$A$301,"&lt;&gt;",'寄样履约'!$K$2:$K$301,"&gt;="&amp;$A30,'寄样履约'!$K$2:$K$301,"&lt;"&amp;$C30,'寄样履约'!$D$2:$D$301,$B30)))</f>
        <v/>
      </c>
      <c r="I30" s="9">
        <f>IF($A30="","",IF($B30="",SUMIFS('视频与订单复盘'!$AG$2:$AG$301,'视频与订单复盘'!$I$2:$I$301,"&gt;="&amp;$A30,'视频与订单复盘'!$I$2:$I$301,"&lt;"&amp;$C30),SUMIFS('视频与订单复盘'!$AG$2:$AG$301,'视频与订单复盘'!$I$2:$I$301,"&gt;="&amp;$A30,'视频与订单复盘'!$I$2:$I$301,"&lt;"&amp;$C30,'视频与订单复盘'!$H$2:$H$301,$B30)))</f>
        <v/>
      </c>
      <c r="J30" s="10">
        <f>IF($A30="","",IF($B30="",SUMIFS('视频与订单复盘'!$P$2:$P$301,'视频与订单复盘'!$I$2:$I$301,"&gt;="&amp;$A30,'视频与订单复盘'!$I$2:$I$301,"&lt;"&amp;$C30,'视频与订单复盘'!$AF$2:$AF$301,"可汇总"),SUMIFS('视频与订单复盘'!$P$2:$P$301,'视频与订单复盘'!$I$2:$I$301,"&gt;="&amp;$A30,'视频与订单复盘'!$I$2:$I$301,"&lt;"&amp;$C30,'视频与订单复盘'!$AF$2:$AF$301,"可汇总",'视频与订单复盘'!$H$2:$H$301,$B30)))</f>
        <v/>
      </c>
      <c r="K30" s="10">
        <f>IF($A30="","",IF($B30="",SUMIFS('视频与订单复盘'!$Y$2:$Y$301,'视频与订单复盘'!$I$2:$I$301,"&gt;="&amp;$A30,'视频与订单复盘'!$I$2:$I$301,"&lt;"&amp;$C30,'视频与订单复盘'!$AF$2:$AF$301,"可汇总"),SUMIFS('视频与订单复盘'!$Y$2:$Y$301,'视频与订单复盘'!$I$2:$I$301,"&gt;="&amp;$A30,'视频与订单复盘'!$I$2:$I$301,"&lt;"&amp;$C30,'视频与订单复盘'!$AF$2:$AF$301,"可汇总",'视频与订单复盘'!$H$2:$H$301,$B30)))</f>
        <v/>
      </c>
      <c r="L30" s="10">
        <f>IF($A30="","",IF($B30="",SUMIFS('寄样履约'!$R$2:$R$301,'寄样履约'!$A$2:$A$301,"&lt;&gt;",'寄样履约'!$H$2:$H$301,"&gt;="&amp;$A30,'寄样履约'!$H$2:$H$301,"&lt;"&amp;$C30),SUMIFS('寄样履约'!$R$2:$R$301,'寄样履约'!$A$2:$A$301,"&lt;&gt;",'寄样履约'!$H$2:$H$301,"&gt;="&amp;$A30,'寄样履约'!$H$2:$H$301,"&lt;"&amp;$C30,'寄样履约'!$D$2:$D$301,$B30)))</f>
        <v/>
      </c>
    </row>
    <row r="31" spans="3:12" ht="34" customHeight="1">
      <c r="C31" s="11">
        <f>IF(A31="","",A31+7)</f>
        <v/>
      </c>
      <c r="D31" s="9">
        <f>IF($A31="","",IF($B31="",COUNTIFS('达人线索与合作'!$A$2:$A$301,"&lt;&gt;",'达人线索与合作'!$U$2:$U$301,"&gt;="&amp;$A31,'达人线索与合作'!$U$2:$U$301,"&lt;"&amp;$C31),COUNTIFS('达人线索与合作'!$A$2:$A$301,"&lt;&gt;",'达人线索与合作'!$U$2:$U$301,"&gt;="&amp;$A31,'达人线索与合作'!$U$2:$U$301,"&lt;"&amp;$C31,'达人线索与合作'!$F$2:$F$301,$B31)))</f>
        <v/>
      </c>
      <c r="E31" s="9">
        <f>IF($A31="","",IF($B31="",COUNTIFS('达人线索与合作'!$A$2:$A$301,"&lt;&gt;",'达人线索与合作'!$AC$2:$AC$301,"&gt;="&amp;$A31,'达人线索与合作'!$AC$2:$AC$301,"&lt;"&amp;$C31),COUNTIFS('达人线索与合作'!$A$2:$A$301,"&lt;&gt;",'达人线索与合作'!$AC$2:$AC$301,"&gt;="&amp;$A31,'达人线索与合作'!$AC$2:$AC$301,"&lt;"&amp;$C31,'达人线索与合作'!$F$2:$F$301,$B31)))</f>
        <v/>
      </c>
      <c r="F31" s="9">
        <f>IF($A31="","",IF($B31="",COUNTIFS('达人线索与合作'!$B$2:$B$301,"&lt;&gt;",'达人线索与合作'!$AD$2:$AD$301,"&gt;="&amp;$A31,'达人线索与合作'!$AD$2:$AD$301,"&lt;"&amp;$C31),COUNTIFS('达人线索与合作'!$B$2:$B$301,"&lt;&gt;",'达人线索与合作'!$AD$2:$AD$301,"&gt;="&amp;$A31,'达人线索与合作'!$AD$2:$AD$301,"&lt;"&amp;$C31,'达人线索与合作'!$F$2:$F$301,$B31)))</f>
        <v/>
      </c>
      <c r="G31" s="9">
        <f>IF($A31="","",IF($B31="",COUNTIFS('寄样履约'!$A$2:$A$301,"&lt;&gt;",'寄样履约'!$H$2:$H$301,"&gt;="&amp;$A31,'寄样履约'!$H$2:$H$301,"&lt;"&amp;$C31),COUNTIFS('寄样履约'!$A$2:$A$301,"&lt;&gt;",'寄样履约'!$H$2:$H$301,"&gt;="&amp;$A31,'寄样履约'!$H$2:$H$301,"&lt;"&amp;$C31,'寄样履约'!$D$2:$D$301,$B31)))</f>
        <v/>
      </c>
      <c r="H31" s="9">
        <f>IF($A31="","",IF($B31="",COUNTIFS('寄样履约'!$A$2:$A$301,"&lt;&gt;",'寄样履约'!$K$2:$K$301,"&gt;="&amp;$A31,'寄样履约'!$K$2:$K$301,"&lt;"&amp;$C31),COUNTIFS('寄样履约'!$A$2:$A$301,"&lt;&gt;",'寄样履约'!$K$2:$K$301,"&gt;="&amp;$A31,'寄样履约'!$K$2:$K$301,"&lt;"&amp;$C31,'寄样履约'!$D$2:$D$301,$B31)))</f>
        <v/>
      </c>
      <c r="I31" s="9">
        <f>IF($A31="","",IF($B31="",SUMIFS('视频与订单复盘'!$AG$2:$AG$301,'视频与订单复盘'!$I$2:$I$301,"&gt;="&amp;$A31,'视频与订单复盘'!$I$2:$I$301,"&lt;"&amp;$C31),SUMIFS('视频与订单复盘'!$AG$2:$AG$301,'视频与订单复盘'!$I$2:$I$301,"&gt;="&amp;$A31,'视频与订单复盘'!$I$2:$I$301,"&lt;"&amp;$C31,'视频与订单复盘'!$H$2:$H$301,$B31)))</f>
        <v/>
      </c>
      <c r="J31" s="10">
        <f>IF($A31="","",IF($B31="",SUMIFS('视频与订单复盘'!$P$2:$P$301,'视频与订单复盘'!$I$2:$I$301,"&gt;="&amp;$A31,'视频与订单复盘'!$I$2:$I$301,"&lt;"&amp;$C31,'视频与订单复盘'!$AF$2:$AF$301,"可汇总"),SUMIFS('视频与订单复盘'!$P$2:$P$301,'视频与订单复盘'!$I$2:$I$301,"&gt;="&amp;$A31,'视频与订单复盘'!$I$2:$I$301,"&lt;"&amp;$C31,'视频与订单复盘'!$AF$2:$AF$301,"可汇总",'视频与订单复盘'!$H$2:$H$301,$B31)))</f>
        <v/>
      </c>
      <c r="K31" s="10">
        <f>IF($A31="","",IF($B31="",SUMIFS('视频与订单复盘'!$Y$2:$Y$301,'视频与订单复盘'!$I$2:$I$301,"&gt;="&amp;$A31,'视频与订单复盘'!$I$2:$I$301,"&lt;"&amp;$C31,'视频与订单复盘'!$AF$2:$AF$301,"可汇总"),SUMIFS('视频与订单复盘'!$Y$2:$Y$301,'视频与订单复盘'!$I$2:$I$301,"&gt;="&amp;$A31,'视频与订单复盘'!$I$2:$I$301,"&lt;"&amp;$C31,'视频与订单复盘'!$AF$2:$AF$301,"可汇总",'视频与订单复盘'!$H$2:$H$301,$B31)))</f>
        <v/>
      </c>
      <c r="L31" s="10">
        <f>IF($A31="","",IF($B31="",SUMIFS('寄样履约'!$R$2:$R$301,'寄样履约'!$A$2:$A$301,"&lt;&gt;",'寄样履约'!$H$2:$H$301,"&gt;="&amp;$A31,'寄样履约'!$H$2:$H$301,"&lt;"&amp;$C31),SUMIFS('寄样履约'!$R$2:$R$301,'寄样履约'!$A$2:$A$301,"&lt;&gt;",'寄样履约'!$H$2:$H$301,"&gt;="&amp;$A31,'寄样履约'!$H$2:$H$301,"&lt;"&amp;$C31,'寄样履约'!$D$2:$D$301,$B31)))</f>
        <v/>
      </c>
    </row>
    <row r="32" spans="3:12" ht="34" customHeight="1">
      <c r="C32" s="11">
        <f>IF(A32="","",A32+7)</f>
        <v/>
      </c>
      <c r="D32" s="9">
        <f>IF($A32="","",IF($B32="",COUNTIFS('达人线索与合作'!$A$2:$A$301,"&lt;&gt;",'达人线索与合作'!$U$2:$U$301,"&gt;="&amp;$A32,'达人线索与合作'!$U$2:$U$301,"&lt;"&amp;$C32),COUNTIFS('达人线索与合作'!$A$2:$A$301,"&lt;&gt;",'达人线索与合作'!$U$2:$U$301,"&gt;="&amp;$A32,'达人线索与合作'!$U$2:$U$301,"&lt;"&amp;$C32,'达人线索与合作'!$F$2:$F$301,$B32)))</f>
        <v/>
      </c>
      <c r="E32" s="9">
        <f>IF($A32="","",IF($B32="",COUNTIFS('达人线索与合作'!$A$2:$A$301,"&lt;&gt;",'达人线索与合作'!$AC$2:$AC$301,"&gt;="&amp;$A32,'达人线索与合作'!$AC$2:$AC$301,"&lt;"&amp;$C32),COUNTIFS('达人线索与合作'!$A$2:$A$301,"&lt;&gt;",'达人线索与合作'!$AC$2:$AC$301,"&gt;="&amp;$A32,'达人线索与合作'!$AC$2:$AC$301,"&lt;"&amp;$C32,'达人线索与合作'!$F$2:$F$301,$B32)))</f>
        <v/>
      </c>
      <c r="F32" s="9">
        <f>IF($A32="","",IF($B32="",COUNTIFS('达人线索与合作'!$B$2:$B$301,"&lt;&gt;",'达人线索与合作'!$AD$2:$AD$301,"&gt;="&amp;$A32,'达人线索与合作'!$AD$2:$AD$301,"&lt;"&amp;$C32),COUNTIFS('达人线索与合作'!$B$2:$B$301,"&lt;&gt;",'达人线索与合作'!$AD$2:$AD$301,"&gt;="&amp;$A32,'达人线索与合作'!$AD$2:$AD$301,"&lt;"&amp;$C32,'达人线索与合作'!$F$2:$F$301,$B32)))</f>
        <v/>
      </c>
      <c r="G32" s="9">
        <f>IF($A32="","",IF($B32="",COUNTIFS('寄样履约'!$A$2:$A$301,"&lt;&gt;",'寄样履约'!$H$2:$H$301,"&gt;="&amp;$A32,'寄样履约'!$H$2:$H$301,"&lt;"&amp;$C32),COUNTIFS('寄样履约'!$A$2:$A$301,"&lt;&gt;",'寄样履约'!$H$2:$H$301,"&gt;="&amp;$A32,'寄样履约'!$H$2:$H$301,"&lt;"&amp;$C32,'寄样履约'!$D$2:$D$301,$B32)))</f>
        <v/>
      </c>
      <c r="H32" s="9">
        <f>IF($A32="","",IF($B32="",COUNTIFS('寄样履约'!$A$2:$A$301,"&lt;&gt;",'寄样履约'!$K$2:$K$301,"&gt;="&amp;$A32,'寄样履约'!$K$2:$K$301,"&lt;"&amp;$C32),COUNTIFS('寄样履约'!$A$2:$A$301,"&lt;&gt;",'寄样履约'!$K$2:$K$301,"&gt;="&amp;$A32,'寄样履约'!$K$2:$K$301,"&lt;"&amp;$C32,'寄样履约'!$D$2:$D$301,$B32)))</f>
        <v/>
      </c>
      <c r="I32" s="9">
        <f>IF($A32="","",IF($B32="",SUMIFS('视频与订单复盘'!$AG$2:$AG$301,'视频与订单复盘'!$I$2:$I$301,"&gt;="&amp;$A32,'视频与订单复盘'!$I$2:$I$301,"&lt;"&amp;$C32),SUMIFS('视频与订单复盘'!$AG$2:$AG$301,'视频与订单复盘'!$I$2:$I$301,"&gt;="&amp;$A32,'视频与订单复盘'!$I$2:$I$301,"&lt;"&amp;$C32,'视频与订单复盘'!$H$2:$H$301,$B32)))</f>
        <v/>
      </c>
      <c r="J32" s="10">
        <f>IF($A32="","",IF($B32="",SUMIFS('视频与订单复盘'!$P$2:$P$301,'视频与订单复盘'!$I$2:$I$301,"&gt;="&amp;$A32,'视频与订单复盘'!$I$2:$I$301,"&lt;"&amp;$C32,'视频与订单复盘'!$AF$2:$AF$301,"可汇总"),SUMIFS('视频与订单复盘'!$P$2:$P$301,'视频与订单复盘'!$I$2:$I$301,"&gt;="&amp;$A32,'视频与订单复盘'!$I$2:$I$301,"&lt;"&amp;$C32,'视频与订单复盘'!$AF$2:$AF$301,"可汇总",'视频与订单复盘'!$H$2:$H$301,$B32)))</f>
        <v/>
      </c>
      <c r="K32" s="10">
        <f>IF($A32="","",IF($B32="",SUMIFS('视频与订单复盘'!$Y$2:$Y$301,'视频与订单复盘'!$I$2:$I$301,"&gt;="&amp;$A32,'视频与订单复盘'!$I$2:$I$301,"&lt;"&amp;$C32,'视频与订单复盘'!$AF$2:$AF$301,"可汇总"),SUMIFS('视频与订单复盘'!$Y$2:$Y$301,'视频与订单复盘'!$I$2:$I$301,"&gt;="&amp;$A32,'视频与订单复盘'!$I$2:$I$301,"&lt;"&amp;$C32,'视频与订单复盘'!$AF$2:$AF$301,"可汇总",'视频与订单复盘'!$H$2:$H$301,$B32)))</f>
        <v/>
      </c>
      <c r="L32" s="10">
        <f>IF($A32="","",IF($B32="",SUMIFS('寄样履约'!$R$2:$R$301,'寄样履约'!$A$2:$A$301,"&lt;&gt;",'寄样履约'!$H$2:$H$301,"&gt;="&amp;$A32,'寄样履约'!$H$2:$H$301,"&lt;"&amp;$C32),SUMIFS('寄样履约'!$R$2:$R$301,'寄样履约'!$A$2:$A$301,"&lt;&gt;",'寄样履约'!$H$2:$H$301,"&gt;="&amp;$A32,'寄样履约'!$H$2:$H$301,"&lt;"&amp;$C32,'寄样履约'!$D$2:$D$301,$B32)))</f>
        <v/>
      </c>
    </row>
    <row r="33" spans="3:12" ht="34" customHeight="1">
      <c r="C33" s="11">
        <f>IF(A33="","",A33+7)</f>
        <v/>
      </c>
      <c r="D33" s="9">
        <f>IF($A33="","",IF($B33="",COUNTIFS('达人线索与合作'!$A$2:$A$301,"&lt;&gt;",'达人线索与合作'!$U$2:$U$301,"&gt;="&amp;$A33,'达人线索与合作'!$U$2:$U$301,"&lt;"&amp;$C33),COUNTIFS('达人线索与合作'!$A$2:$A$301,"&lt;&gt;",'达人线索与合作'!$U$2:$U$301,"&gt;="&amp;$A33,'达人线索与合作'!$U$2:$U$301,"&lt;"&amp;$C33,'达人线索与合作'!$F$2:$F$301,$B33)))</f>
        <v/>
      </c>
      <c r="E33" s="9">
        <f>IF($A33="","",IF($B33="",COUNTIFS('达人线索与合作'!$A$2:$A$301,"&lt;&gt;",'达人线索与合作'!$AC$2:$AC$301,"&gt;="&amp;$A33,'达人线索与合作'!$AC$2:$AC$301,"&lt;"&amp;$C33),COUNTIFS('达人线索与合作'!$A$2:$A$301,"&lt;&gt;",'达人线索与合作'!$AC$2:$AC$301,"&gt;="&amp;$A33,'达人线索与合作'!$AC$2:$AC$301,"&lt;"&amp;$C33,'达人线索与合作'!$F$2:$F$301,$B33)))</f>
        <v/>
      </c>
      <c r="F33" s="9">
        <f>IF($A33="","",IF($B33="",COUNTIFS('达人线索与合作'!$B$2:$B$301,"&lt;&gt;",'达人线索与合作'!$AD$2:$AD$301,"&gt;="&amp;$A33,'达人线索与合作'!$AD$2:$AD$301,"&lt;"&amp;$C33),COUNTIFS('达人线索与合作'!$B$2:$B$301,"&lt;&gt;",'达人线索与合作'!$AD$2:$AD$301,"&gt;="&amp;$A33,'达人线索与合作'!$AD$2:$AD$301,"&lt;"&amp;$C33,'达人线索与合作'!$F$2:$F$301,$B33)))</f>
        <v/>
      </c>
      <c r="G33" s="9">
        <f>IF($A33="","",IF($B33="",COUNTIFS('寄样履约'!$A$2:$A$301,"&lt;&gt;",'寄样履约'!$H$2:$H$301,"&gt;="&amp;$A33,'寄样履约'!$H$2:$H$301,"&lt;"&amp;$C33),COUNTIFS('寄样履约'!$A$2:$A$301,"&lt;&gt;",'寄样履约'!$H$2:$H$301,"&gt;="&amp;$A33,'寄样履约'!$H$2:$H$301,"&lt;"&amp;$C33,'寄样履约'!$D$2:$D$301,$B33)))</f>
        <v/>
      </c>
      <c r="H33" s="9">
        <f>IF($A33="","",IF($B33="",COUNTIFS('寄样履约'!$A$2:$A$301,"&lt;&gt;",'寄样履约'!$K$2:$K$301,"&gt;="&amp;$A33,'寄样履约'!$K$2:$K$301,"&lt;"&amp;$C33),COUNTIFS('寄样履约'!$A$2:$A$301,"&lt;&gt;",'寄样履约'!$K$2:$K$301,"&gt;="&amp;$A33,'寄样履约'!$K$2:$K$301,"&lt;"&amp;$C33,'寄样履约'!$D$2:$D$301,$B33)))</f>
        <v/>
      </c>
      <c r="I33" s="9">
        <f>IF($A33="","",IF($B33="",SUMIFS('视频与订单复盘'!$AG$2:$AG$301,'视频与订单复盘'!$I$2:$I$301,"&gt;="&amp;$A33,'视频与订单复盘'!$I$2:$I$301,"&lt;"&amp;$C33),SUMIFS('视频与订单复盘'!$AG$2:$AG$301,'视频与订单复盘'!$I$2:$I$301,"&gt;="&amp;$A33,'视频与订单复盘'!$I$2:$I$301,"&lt;"&amp;$C33,'视频与订单复盘'!$H$2:$H$301,$B33)))</f>
        <v/>
      </c>
      <c r="J33" s="10">
        <f>IF($A33="","",IF($B33="",SUMIFS('视频与订单复盘'!$P$2:$P$301,'视频与订单复盘'!$I$2:$I$301,"&gt;="&amp;$A33,'视频与订单复盘'!$I$2:$I$301,"&lt;"&amp;$C33,'视频与订单复盘'!$AF$2:$AF$301,"可汇总"),SUMIFS('视频与订单复盘'!$P$2:$P$301,'视频与订单复盘'!$I$2:$I$301,"&gt;="&amp;$A33,'视频与订单复盘'!$I$2:$I$301,"&lt;"&amp;$C33,'视频与订单复盘'!$AF$2:$AF$301,"可汇总",'视频与订单复盘'!$H$2:$H$301,$B33)))</f>
        <v/>
      </c>
      <c r="K33" s="10">
        <f>IF($A33="","",IF($B33="",SUMIFS('视频与订单复盘'!$Y$2:$Y$301,'视频与订单复盘'!$I$2:$I$301,"&gt;="&amp;$A33,'视频与订单复盘'!$I$2:$I$301,"&lt;"&amp;$C33,'视频与订单复盘'!$AF$2:$AF$301,"可汇总"),SUMIFS('视频与订单复盘'!$Y$2:$Y$301,'视频与订单复盘'!$I$2:$I$301,"&gt;="&amp;$A33,'视频与订单复盘'!$I$2:$I$301,"&lt;"&amp;$C33,'视频与订单复盘'!$AF$2:$AF$301,"可汇总",'视频与订单复盘'!$H$2:$H$301,$B33)))</f>
        <v/>
      </c>
      <c r="L33" s="10">
        <f>IF($A33="","",IF($B33="",SUMIFS('寄样履约'!$R$2:$R$301,'寄样履约'!$A$2:$A$301,"&lt;&gt;",'寄样履约'!$H$2:$H$301,"&gt;="&amp;$A33,'寄样履约'!$H$2:$H$301,"&lt;"&amp;$C33),SUMIFS('寄样履约'!$R$2:$R$301,'寄样履约'!$A$2:$A$301,"&lt;&gt;",'寄样履约'!$H$2:$H$301,"&gt;="&amp;$A33,'寄样履约'!$H$2:$H$301,"&lt;"&amp;$C33,'寄样履约'!$D$2:$D$301,$B33)))</f>
        <v/>
      </c>
    </row>
    <row r="34" spans="3:12" ht="34" customHeight="1">
      <c r="C34" s="11">
        <f>IF(A34="","",A34+7)</f>
        <v/>
      </c>
      <c r="D34" s="9">
        <f>IF($A34="","",IF($B34="",COUNTIFS('达人线索与合作'!$A$2:$A$301,"&lt;&gt;",'达人线索与合作'!$U$2:$U$301,"&gt;="&amp;$A34,'达人线索与合作'!$U$2:$U$301,"&lt;"&amp;$C34),COUNTIFS('达人线索与合作'!$A$2:$A$301,"&lt;&gt;",'达人线索与合作'!$U$2:$U$301,"&gt;="&amp;$A34,'达人线索与合作'!$U$2:$U$301,"&lt;"&amp;$C34,'达人线索与合作'!$F$2:$F$301,$B34)))</f>
        <v/>
      </c>
      <c r="E34" s="9">
        <f>IF($A34="","",IF($B34="",COUNTIFS('达人线索与合作'!$A$2:$A$301,"&lt;&gt;",'达人线索与合作'!$AC$2:$AC$301,"&gt;="&amp;$A34,'达人线索与合作'!$AC$2:$AC$301,"&lt;"&amp;$C34),COUNTIFS('达人线索与合作'!$A$2:$A$301,"&lt;&gt;",'达人线索与合作'!$AC$2:$AC$301,"&gt;="&amp;$A34,'达人线索与合作'!$AC$2:$AC$301,"&lt;"&amp;$C34,'达人线索与合作'!$F$2:$F$301,$B34)))</f>
        <v/>
      </c>
      <c r="F34" s="9">
        <f>IF($A34="","",IF($B34="",COUNTIFS('达人线索与合作'!$B$2:$B$301,"&lt;&gt;",'达人线索与合作'!$AD$2:$AD$301,"&gt;="&amp;$A34,'达人线索与合作'!$AD$2:$AD$301,"&lt;"&amp;$C34),COUNTIFS('达人线索与合作'!$B$2:$B$301,"&lt;&gt;",'达人线索与合作'!$AD$2:$AD$301,"&gt;="&amp;$A34,'达人线索与合作'!$AD$2:$AD$301,"&lt;"&amp;$C34,'达人线索与合作'!$F$2:$F$301,$B34)))</f>
        <v/>
      </c>
      <c r="G34" s="9">
        <f>IF($A34="","",IF($B34="",COUNTIFS('寄样履约'!$A$2:$A$301,"&lt;&gt;",'寄样履约'!$H$2:$H$301,"&gt;="&amp;$A34,'寄样履约'!$H$2:$H$301,"&lt;"&amp;$C34),COUNTIFS('寄样履约'!$A$2:$A$301,"&lt;&gt;",'寄样履约'!$H$2:$H$301,"&gt;="&amp;$A34,'寄样履约'!$H$2:$H$301,"&lt;"&amp;$C34,'寄样履约'!$D$2:$D$301,$B34)))</f>
        <v/>
      </c>
      <c r="H34" s="9">
        <f>IF($A34="","",IF($B34="",COUNTIFS('寄样履约'!$A$2:$A$301,"&lt;&gt;",'寄样履约'!$K$2:$K$301,"&gt;="&amp;$A34,'寄样履约'!$K$2:$K$301,"&lt;"&amp;$C34),COUNTIFS('寄样履约'!$A$2:$A$301,"&lt;&gt;",'寄样履约'!$K$2:$K$301,"&gt;="&amp;$A34,'寄样履约'!$K$2:$K$301,"&lt;"&amp;$C34,'寄样履约'!$D$2:$D$301,$B34)))</f>
        <v/>
      </c>
      <c r="I34" s="9">
        <f>IF($A34="","",IF($B34="",SUMIFS('视频与订单复盘'!$AG$2:$AG$301,'视频与订单复盘'!$I$2:$I$301,"&gt;="&amp;$A34,'视频与订单复盘'!$I$2:$I$301,"&lt;"&amp;$C34),SUMIFS('视频与订单复盘'!$AG$2:$AG$301,'视频与订单复盘'!$I$2:$I$301,"&gt;="&amp;$A34,'视频与订单复盘'!$I$2:$I$301,"&lt;"&amp;$C34,'视频与订单复盘'!$H$2:$H$301,$B34)))</f>
        <v/>
      </c>
      <c r="J34" s="10">
        <f>IF($A34="","",IF($B34="",SUMIFS('视频与订单复盘'!$P$2:$P$301,'视频与订单复盘'!$I$2:$I$301,"&gt;="&amp;$A34,'视频与订单复盘'!$I$2:$I$301,"&lt;"&amp;$C34,'视频与订单复盘'!$AF$2:$AF$301,"可汇总"),SUMIFS('视频与订单复盘'!$P$2:$P$301,'视频与订单复盘'!$I$2:$I$301,"&gt;="&amp;$A34,'视频与订单复盘'!$I$2:$I$301,"&lt;"&amp;$C34,'视频与订单复盘'!$AF$2:$AF$301,"可汇总",'视频与订单复盘'!$H$2:$H$301,$B34)))</f>
        <v/>
      </c>
      <c r="K34" s="10">
        <f>IF($A34="","",IF($B34="",SUMIFS('视频与订单复盘'!$Y$2:$Y$301,'视频与订单复盘'!$I$2:$I$301,"&gt;="&amp;$A34,'视频与订单复盘'!$I$2:$I$301,"&lt;"&amp;$C34,'视频与订单复盘'!$AF$2:$AF$301,"可汇总"),SUMIFS('视频与订单复盘'!$Y$2:$Y$301,'视频与订单复盘'!$I$2:$I$301,"&gt;="&amp;$A34,'视频与订单复盘'!$I$2:$I$301,"&lt;"&amp;$C34,'视频与订单复盘'!$AF$2:$AF$301,"可汇总",'视频与订单复盘'!$H$2:$H$301,$B34)))</f>
        <v/>
      </c>
      <c r="L34" s="10">
        <f>IF($A34="","",IF($B34="",SUMIFS('寄样履约'!$R$2:$R$301,'寄样履约'!$A$2:$A$301,"&lt;&gt;",'寄样履约'!$H$2:$H$301,"&gt;="&amp;$A34,'寄样履约'!$H$2:$H$301,"&lt;"&amp;$C34),SUMIFS('寄样履约'!$R$2:$R$301,'寄样履约'!$A$2:$A$301,"&lt;&gt;",'寄样履约'!$H$2:$H$301,"&gt;="&amp;$A34,'寄样履约'!$H$2:$H$301,"&lt;"&amp;$C34,'寄样履约'!$D$2:$D$301,$B34)))</f>
        <v/>
      </c>
    </row>
    <row r="35" spans="3:12" ht="34" customHeight="1">
      <c r="C35" s="11">
        <f>IF(A35="","",A35+7)</f>
        <v/>
      </c>
      <c r="D35" s="9">
        <f>IF($A35="","",IF($B35="",COUNTIFS('达人线索与合作'!$A$2:$A$301,"&lt;&gt;",'达人线索与合作'!$U$2:$U$301,"&gt;="&amp;$A35,'达人线索与合作'!$U$2:$U$301,"&lt;"&amp;$C35),COUNTIFS('达人线索与合作'!$A$2:$A$301,"&lt;&gt;",'达人线索与合作'!$U$2:$U$301,"&gt;="&amp;$A35,'达人线索与合作'!$U$2:$U$301,"&lt;"&amp;$C35,'达人线索与合作'!$F$2:$F$301,$B35)))</f>
        <v/>
      </c>
      <c r="E35" s="9">
        <f>IF($A35="","",IF($B35="",COUNTIFS('达人线索与合作'!$A$2:$A$301,"&lt;&gt;",'达人线索与合作'!$AC$2:$AC$301,"&gt;="&amp;$A35,'达人线索与合作'!$AC$2:$AC$301,"&lt;"&amp;$C35),COUNTIFS('达人线索与合作'!$A$2:$A$301,"&lt;&gt;",'达人线索与合作'!$AC$2:$AC$301,"&gt;="&amp;$A35,'达人线索与合作'!$AC$2:$AC$301,"&lt;"&amp;$C35,'达人线索与合作'!$F$2:$F$301,$B35)))</f>
        <v/>
      </c>
      <c r="F35" s="9">
        <f>IF($A35="","",IF($B35="",COUNTIFS('达人线索与合作'!$B$2:$B$301,"&lt;&gt;",'达人线索与合作'!$AD$2:$AD$301,"&gt;="&amp;$A35,'达人线索与合作'!$AD$2:$AD$301,"&lt;"&amp;$C35),COUNTIFS('达人线索与合作'!$B$2:$B$301,"&lt;&gt;",'达人线索与合作'!$AD$2:$AD$301,"&gt;="&amp;$A35,'达人线索与合作'!$AD$2:$AD$301,"&lt;"&amp;$C35,'达人线索与合作'!$F$2:$F$301,$B35)))</f>
        <v/>
      </c>
      <c r="G35" s="9">
        <f>IF($A35="","",IF($B35="",COUNTIFS('寄样履约'!$A$2:$A$301,"&lt;&gt;",'寄样履约'!$H$2:$H$301,"&gt;="&amp;$A35,'寄样履约'!$H$2:$H$301,"&lt;"&amp;$C35),COUNTIFS('寄样履约'!$A$2:$A$301,"&lt;&gt;",'寄样履约'!$H$2:$H$301,"&gt;="&amp;$A35,'寄样履约'!$H$2:$H$301,"&lt;"&amp;$C35,'寄样履约'!$D$2:$D$301,$B35)))</f>
        <v/>
      </c>
      <c r="H35" s="9">
        <f>IF($A35="","",IF($B35="",COUNTIFS('寄样履约'!$A$2:$A$301,"&lt;&gt;",'寄样履约'!$K$2:$K$301,"&gt;="&amp;$A35,'寄样履约'!$K$2:$K$301,"&lt;"&amp;$C35),COUNTIFS('寄样履约'!$A$2:$A$301,"&lt;&gt;",'寄样履约'!$K$2:$K$301,"&gt;="&amp;$A35,'寄样履约'!$K$2:$K$301,"&lt;"&amp;$C35,'寄样履约'!$D$2:$D$301,$B35)))</f>
        <v/>
      </c>
      <c r="I35" s="9">
        <f>IF($A35="","",IF($B35="",SUMIFS('视频与订单复盘'!$AG$2:$AG$301,'视频与订单复盘'!$I$2:$I$301,"&gt;="&amp;$A35,'视频与订单复盘'!$I$2:$I$301,"&lt;"&amp;$C35),SUMIFS('视频与订单复盘'!$AG$2:$AG$301,'视频与订单复盘'!$I$2:$I$301,"&gt;="&amp;$A35,'视频与订单复盘'!$I$2:$I$301,"&lt;"&amp;$C35,'视频与订单复盘'!$H$2:$H$301,$B35)))</f>
        <v/>
      </c>
      <c r="J35" s="10">
        <f>IF($A35="","",IF($B35="",SUMIFS('视频与订单复盘'!$P$2:$P$301,'视频与订单复盘'!$I$2:$I$301,"&gt;="&amp;$A35,'视频与订单复盘'!$I$2:$I$301,"&lt;"&amp;$C35,'视频与订单复盘'!$AF$2:$AF$301,"可汇总"),SUMIFS('视频与订单复盘'!$P$2:$P$301,'视频与订单复盘'!$I$2:$I$301,"&gt;="&amp;$A35,'视频与订单复盘'!$I$2:$I$301,"&lt;"&amp;$C35,'视频与订单复盘'!$AF$2:$AF$301,"可汇总",'视频与订单复盘'!$H$2:$H$301,$B35)))</f>
        <v/>
      </c>
      <c r="K35" s="10">
        <f>IF($A35="","",IF($B35="",SUMIFS('视频与订单复盘'!$Y$2:$Y$301,'视频与订单复盘'!$I$2:$I$301,"&gt;="&amp;$A35,'视频与订单复盘'!$I$2:$I$301,"&lt;"&amp;$C35,'视频与订单复盘'!$AF$2:$AF$301,"可汇总"),SUMIFS('视频与订单复盘'!$Y$2:$Y$301,'视频与订单复盘'!$I$2:$I$301,"&gt;="&amp;$A35,'视频与订单复盘'!$I$2:$I$301,"&lt;"&amp;$C35,'视频与订单复盘'!$AF$2:$AF$301,"可汇总",'视频与订单复盘'!$H$2:$H$301,$B35)))</f>
        <v/>
      </c>
      <c r="L35" s="10">
        <f>IF($A35="","",IF($B35="",SUMIFS('寄样履约'!$R$2:$R$301,'寄样履约'!$A$2:$A$301,"&lt;&gt;",'寄样履约'!$H$2:$H$301,"&gt;="&amp;$A35,'寄样履约'!$H$2:$H$301,"&lt;"&amp;$C35),SUMIFS('寄样履约'!$R$2:$R$301,'寄样履约'!$A$2:$A$301,"&lt;&gt;",'寄样履约'!$H$2:$H$301,"&gt;="&amp;$A35,'寄样履约'!$H$2:$H$301,"&lt;"&amp;$C35,'寄样履约'!$D$2:$D$301,$B35)))</f>
        <v/>
      </c>
    </row>
    <row r="36" spans="3:12" ht="34" customHeight="1">
      <c r="C36" s="11">
        <f>IF(A36="","",A36+7)</f>
        <v/>
      </c>
      <c r="D36" s="9">
        <f>IF($A36="","",IF($B36="",COUNTIFS('达人线索与合作'!$A$2:$A$301,"&lt;&gt;",'达人线索与合作'!$U$2:$U$301,"&gt;="&amp;$A36,'达人线索与合作'!$U$2:$U$301,"&lt;"&amp;$C36),COUNTIFS('达人线索与合作'!$A$2:$A$301,"&lt;&gt;",'达人线索与合作'!$U$2:$U$301,"&gt;="&amp;$A36,'达人线索与合作'!$U$2:$U$301,"&lt;"&amp;$C36,'达人线索与合作'!$F$2:$F$301,$B36)))</f>
        <v/>
      </c>
      <c r="E36" s="9">
        <f>IF($A36="","",IF($B36="",COUNTIFS('达人线索与合作'!$A$2:$A$301,"&lt;&gt;",'达人线索与合作'!$AC$2:$AC$301,"&gt;="&amp;$A36,'达人线索与合作'!$AC$2:$AC$301,"&lt;"&amp;$C36),COUNTIFS('达人线索与合作'!$A$2:$A$301,"&lt;&gt;",'达人线索与合作'!$AC$2:$AC$301,"&gt;="&amp;$A36,'达人线索与合作'!$AC$2:$AC$301,"&lt;"&amp;$C36,'达人线索与合作'!$F$2:$F$301,$B36)))</f>
        <v/>
      </c>
      <c r="F36" s="9">
        <f>IF($A36="","",IF($B36="",COUNTIFS('达人线索与合作'!$B$2:$B$301,"&lt;&gt;",'达人线索与合作'!$AD$2:$AD$301,"&gt;="&amp;$A36,'达人线索与合作'!$AD$2:$AD$301,"&lt;"&amp;$C36),COUNTIFS('达人线索与合作'!$B$2:$B$301,"&lt;&gt;",'达人线索与合作'!$AD$2:$AD$301,"&gt;="&amp;$A36,'达人线索与合作'!$AD$2:$AD$301,"&lt;"&amp;$C36,'达人线索与合作'!$F$2:$F$301,$B36)))</f>
        <v/>
      </c>
      <c r="G36" s="9">
        <f>IF($A36="","",IF($B36="",COUNTIFS('寄样履约'!$A$2:$A$301,"&lt;&gt;",'寄样履约'!$H$2:$H$301,"&gt;="&amp;$A36,'寄样履约'!$H$2:$H$301,"&lt;"&amp;$C36),COUNTIFS('寄样履约'!$A$2:$A$301,"&lt;&gt;",'寄样履约'!$H$2:$H$301,"&gt;="&amp;$A36,'寄样履约'!$H$2:$H$301,"&lt;"&amp;$C36,'寄样履约'!$D$2:$D$301,$B36)))</f>
        <v/>
      </c>
      <c r="H36" s="9">
        <f>IF($A36="","",IF($B36="",COUNTIFS('寄样履约'!$A$2:$A$301,"&lt;&gt;",'寄样履约'!$K$2:$K$301,"&gt;="&amp;$A36,'寄样履约'!$K$2:$K$301,"&lt;"&amp;$C36),COUNTIFS('寄样履约'!$A$2:$A$301,"&lt;&gt;",'寄样履约'!$K$2:$K$301,"&gt;="&amp;$A36,'寄样履约'!$K$2:$K$301,"&lt;"&amp;$C36,'寄样履约'!$D$2:$D$301,$B36)))</f>
        <v/>
      </c>
      <c r="I36" s="9">
        <f>IF($A36="","",IF($B36="",SUMIFS('视频与订单复盘'!$AG$2:$AG$301,'视频与订单复盘'!$I$2:$I$301,"&gt;="&amp;$A36,'视频与订单复盘'!$I$2:$I$301,"&lt;"&amp;$C36),SUMIFS('视频与订单复盘'!$AG$2:$AG$301,'视频与订单复盘'!$I$2:$I$301,"&gt;="&amp;$A36,'视频与订单复盘'!$I$2:$I$301,"&lt;"&amp;$C36,'视频与订单复盘'!$H$2:$H$301,$B36)))</f>
        <v/>
      </c>
      <c r="J36" s="10">
        <f>IF($A36="","",IF($B36="",SUMIFS('视频与订单复盘'!$P$2:$P$301,'视频与订单复盘'!$I$2:$I$301,"&gt;="&amp;$A36,'视频与订单复盘'!$I$2:$I$301,"&lt;"&amp;$C36,'视频与订单复盘'!$AF$2:$AF$301,"可汇总"),SUMIFS('视频与订单复盘'!$P$2:$P$301,'视频与订单复盘'!$I$2:$I$301,"&gt;="&amp;$A36,'视频与订单复盘'!$I$2:$I$301,"&lt;"&amp;$C36,'视频与订单复盘'!$AF$2:$AF$301,"可汇总",'视频与订单复盘'!$H$2:$H$301,$B36)))</f>
        <v/>
      </c>
      <c r="K36" s="10">
        <f>IF($A36="","",IF($B36="",SUMIFS('视频与订单复盘'!$Y$2:$Y$301,'视频与订单复盘'!$I$2:$I$301,"&gt;="&amp;$A36,'视频与订单复盘'!$I$2:$I$301,"&lt;"&amp;$C36,'视频与订单复盘'!$AF$2:$AF$301,"可汇总"),SUMIFS('视频与订单复盘'!$Y$2:$Y$301,'视频与订单复盘'!$I$2:$I$301,"&gt;="&amp;$A36,'视频与订单复盘'!$I$2:$I$301,"&lt;"&amp;$C36,'视频与订单复盘'!$AF$2:$AF$301,"可汇总",'视频与订单复盘'!$H$2:$H$301,$B36)))</f>
        <v/>
      </c>
      <c r="L36" s="10">
        <f>IF($A36="","",IF($B36="",SUMIFS('寄样履约'!$R$2:$R$301,'寄样履约'!$A$2:$A$301,"&lt;&gt;",'寄样履约'!$H$2:$H$301,"&gt;="&amp;$A36,'寄样履约'!$H$2:$H$301,"&lt;"&amp;$C36),SUMIFS('寄样履约'!$R$2:$R$301,'寄样履约'!$A$2:$A$301,"&lt;&gt;",'寄样履约'!$H$2:$H$301,"&gt;="&amp;$A36,'寄样履约'!$H$2:$H$301,"&lt;"&amp;$C36,'寄样履约'!$D$2:$D$301,$B36)))</f>
        <v/>
      </c>
    </row>
    <row r="37" spans="3:12" ht="34" customHeight="1">
      <c r="C37" s="11">
        <f>IF(A37="","",A37+7)</f>
        <v/>
      </c>
      <c r="D37" s="9">
        <f>IF($A37="","",IF($B37="",COUNTIFS('达人线索与合作'!$A$2:$A$301,"&lt;&gt;",'达人线索与合作'!$U$2:$U$301,"&gt;="&amp;$A37,'达人线索与合作'!$U$2:$U$301,"&lt;"&amp;$C37),COUNTIFS('达人线索与合作'!$A$2:$A$301,"&lt;&gt;",'达人线索与合作'!$U$2:$U$301,"&gt;="&amp;$A37,'达人线索与合作'!$U$2:$U$301,"&lt;"&amp;$C37,'达人线索与合作'!$F$2:$F$301,$B37)))</f>
        <v/>
      </c>
      <c r="E37" s="9">
        <f>IF($A37="","",IF($B37="",COUNTIFS('达人线索与合作'!$A$2:$A$301,"&lt;&gt;",'达人线索与合作'!$AC$2:$AC$301,"&gt;="&amp;$A37,'达人线索与合作'!$AC$2:$AC$301,"&lt;"&amp;$C37),COUNTIFS('达人线索与合作'!$A$2:$A$301,"&lt;&gt;",'达人线索与合作'!$AC$2:$AC$301,"&gt;="&amp;$A37,'达人线索与合作'!$AC$2:$AC$301,"&lt;"&amp;$C37,'达人线索与合作'!$F$2:$F$301,$B37)))</f>
        <v/>
      </c>
      <c r="F37" s="9">
        <f>IF($A37="","",IF($B37="",COUNTIFS('达人线索与合作'!$B$2:$B$301,"&lt;&gt;",'达人线索与合作'!$AD$2:$AD$301,"&gt;="&amp;$A37,'达人线索与合作'!$AD$2:$AD$301,"&lt;"&amp;$C37),COUNTIFS('达人线索与合作'!$B$2:$B$301,"&lt;&gt;",'达人线索与合作'!$AD$2:$AD$301,"&gt;="&amp;$A37,'达人线索与合作'!$AD$2:$AD$301,"&lt;"&amp;$C37,'达人线索与合作'!$F$2:$F$301,$B37)))</f>
        <v/>
      </c>
      <c r="G37" s="9">
        <f>IF($A37="","",IF($B37="",COUNTIFS('寄样履约'!$A$2:$A$301,"&lt;&gt;",'寄样履约'!$H$2:$H$301,"&gt;="&amp;$A37,'寄样履约'!$H$2:$H$301,"&lt;"&amp;$C37),COUNTIFS('寄样履约'!$A$2:$A$301,"&lt;&gt;",'寄样履约'!$H$2:$H$301,"&gt;="&amp;$A37,'寄样履约'!$H$2:$H$301,"&lt;"&amp;$C37,'寄样履约'!$D$2:$D$301,$B37)))</f>
        <v/>
      </c>
      <c r="H37" s="9">
        <f>IF($A37="","",IF($B37="",COUNTIFS('寄样履约'!$A$2:$A$301,"&lt;&gt;",'寄样履约'!$K$2:$K$301,"&gt;="&amp;$A37,'寄样履约'!$K$2:$K$301,"&lt;"&amp;$C37),COUNTIFS('寄样履约'!$A$2:$A$301,"&lt;&gt;",'寄样履约'!$K$2:$K$301,"&gt;="&amp;$A37,'寄样履约'!$K$2:$K$301,"&lt;"&amp;$C37,'寄样履约'!$D$2:$D$301,$B37)))</f>
        <v/>
      </c>
      <c r="I37" s="9">
        <f>IF($A37="","",IF($B37="",SUMIFS('视频与订单复盘'!$AG$2:$AG$301,'视频与订单复盘'!$I$2:$I$301,"&gt;="&amp;$A37,'视频与订单复盘'!$I$2:$I$301,"&lt;"&amp;$C37),SUMIFS('视频与订单复盘'!$AG$2:$AG$301,'视频与订单复盘'!$I$2:$I$301,"&gt;="&amp;$A37,'视频与订单复盘'!$I$2:$I$301,"&lt;"&amp;$C37,'视频与订单复盘'!$H$2:$H$301,$B37)))</f>
        <v/>
      </c>
      <c r="J37" s="10">
        <f>IF($A37="","",IF($B37="",SUMIFS('视频与订单复盘'!$P$2:$P$301,'视频与订单复盘'!$I$2:$I$301,"&gt;="&amp;$A37,'视频与订单复盘'!$I$2:$I$301,"&lt;"&amp;$C37,'视频与订单复盘'!$AF$2:$AF$301,"可汇总"),SUMIFS('视频与订单复盘'!$P$2:$P$301,'视频与订单复盘'!$I$2:$I$301,"&gt;="&amp;$A37,'视频与订单复盘'!$I$2:$I$301,"&lt;"&amp;$C37,'视频与订单复盘'!$AF$2:$AF$301,"可汇总",'视频与订单复盘'!$H$2:$H$301,$B37)))</f>
        <v/>
      </c>
      <c r="K37" s="10">
        <f>IF($A37="","",IF($B37="",SUMIFS('视频与订单复盘'!$Y$2:$Y$301,'视频与订单复盘'!$I$2:$I$301,"&gt;="&amp;$A37,'视频与订单复盘'!$I$2:$I$301,"&lt;"&amp;$C37,'视频与订单复盘'!$AF$2:$AF$301,"可汇总"),SUMIFS('视频与订单复盘'!$Y$2:$Y$301,'视频与订单复盘'!$I$2:$I$301,"&gt;="&amp;$A37,'视频与订单复盘'!$I$2:$I$301,"&lt;"&amp;$C37,'视频与订单复盘'!$AF$2:$AF$301,"可汇总",'视频与订单复盘'!$H$2:$H$301,$B37)))</f>
        <v/>
      </c>
      <c r="L37" s="10">
        <f>IF($A37="","",IF($B37="",SUMIFS('寄样履约'!$R$2:$R$301,'寄样履约'!$A$2:$A$301,"&lt;&gt;",'寄样履约'!$H$2:$H$301,"&gt;="&amp;$A37,'寄样履约'!$H$2:$H$301,"&lt;"&amp;$C37),SUMIFS('寄样履约'!$R$2:$R$301,'寄样履约'!$A$2:$A$301,"&lt;&gt;",'寄样履约'!$H$2:$H$301,"&gt;="&amp;$A37,'寄样履约'!$H$2:$H$301,"&lt;"&amp;$C37,'寄样履约'!$D$2:$D$301,$B37)))</f>
        <v/>
      </c>
    </row>
    <row r="38" spans="3:12" ht="34" customHeight="1">
      <c r="C38" s="11">
        <f>IF(A38="","",A38+7)</f>
        <v/>
      </c>
      <c r="D38" s="9">
        <f>IF($A38="","",IF($B38="",COUNTIFS('达人线索与合作'!$A$2:$A$301,"&lt;&gt;",'达人线索与合作'!$U$2:$U$301,"&gt;="&amp;$A38,'达人线索与合作'!$U$2:$U$301,"&lt;"&amp;$C38),COUNTIFS('达人线索与合作'!$A$2:$A$301,"&lt;&gt;",'达人线索与合作'!$U$2:$U$301,"&gt;="&amp;$A38,'达人线索与合作'!$U$2:$U$301,"&lt;"&amp;$C38,'达人线索与合作'!$F$2:$F$301,$B38)))</f>
        <v/>
      </c>
      <c r="E38" s="9">
        <f>IF($A38="","",IF($B38="",COUNTIFS('达人线索与合作'!$A$2:$A$301,"&lt;&gt;",'达人线索与合作'!$AC$2:$AC$301,"&gt;="&amp;$A38,'达人线索与合作'!$AC$2:$AC$301,"&lt;"&amp;$C38),COUNTIFS('达人线索与合作'!$A$2:$A$301,"&lt;&gt;",'达人线索与合作'!$AC$2:$AC$301,"&gt;="&amp;$A38,'达人线索与合作'!$AC$2:$AC$301,"&lt;"&amp;$C38,'达人线索与合作'!$F$2:$F$301,$B38)))</f>
        <v/>
      </c>
      <c r="F38" s="9">
        <f>IF($A38="","",IF($B38="",COUNTIFS('达人线索与合作'!$B$2:$B$301,"&lt;&gt;",'达人线索与合作'!$AD$2:$AD$301,"&gt;="&amp;$A38,'达人线索与合作'!$AD$2:$AD$301,"&lt;"&amp;$C38),COUNTIFS('达人线索与合作'!$B$2:$B$301,"&lt;&gt;",'达人线索与合作'!$AD$2:$AD$301,"&gt;="&amp;$A38,'达人线索与合作'!$AD$2:$AD$301,"&lt;"&amp;$C38,'达人线索与合作'!$F$2:$F$301,$B38)))</f>
        <v/>
      </c>
      <c r="G38" s="9">
        <f>IF($A38="","",IF($B38="",COUNTIFS('寄样履约'!$A$2:$A$301,"&lt;&gt;",'寄样履约'!$H$2:$H$301,"&gt;="&amp;$A38,'寄样履约'!$H$2:$H$301,"&lt;"&amp;$C38),COUNTIFS('寄样履约'!$A$2:$A$301,"&lt;&gt;",'寄样履约'!$H$2:$H$301,"&gt;="&amp;$A38,'寄样履约'!$H$2:$H$301,"&lt;"&amp;$C38,'寄样履约'!$D$2:$D$301,$B38)))</f>
        <v/>
      </c>
      <c r="H38" s="9">
        <f>IF($A38="","",IF($B38="",COUNTIFS('寄样履约'!$A$2:$A$301,"&lt;&gt;",'寄样履约'!$K$2:$K$301,"&gt;="&amp;$A38,'寄样履约'!$K$2:$K$301,"&lt;"&amp;$C38),COUNTIFS('寄样履约'!$A$2:$A$301,"&lt;&gt;",'寄样履约'!$K$2:$K$301,"&gt;="&amp;$A38,'寄样履约'!$K$2:$K$301,"&lt;"&amp;$C38,'寄样履约'!$D$2:$D$301,$B38)))</f>
        <v/>
      </c>
      <c r="I38" s="9">
        <f>IF($A38="","",IF($B38="",SUMIFS('视频与订单复盘'!$AG$2:$AG$301,'视频与订单复盘'!$I$2:$I$301,"&gt;="&amp;$A38,'视频与订单复盘'!$I$2:$I$301,"&lt;"&amp;$C38),SUMIFS('视频与订单复盘'!$AG$2:$AG$301,'视频与订单复盘'!$I$2:$I$301,"&gt;="&amp;$A38,'视频与订单复盘'!$I$2:$I$301,"&lt;"&amp;$C38,'视频与订单复盘'!$H$2:$H$301,$B38)))</f>
        <v/>
      </c>
      <c r="J38" s="10">
        <f>IF($A38="","",IF($B38="",SUMIFS('视频与订单复盘'!$P$2:$P$301,'视频与订单复盘'!$I$2:$I$301,"&gt;="&amp;$A38,'视频与订单复盘'!$I$2:$I$301,"&lt;"&amp;$C38,'视频与订单复盘'!$AF$2:$AF$301,"可汇总"),SUMIFS('视频与订单复盘'!$P$2:$P$301,'视频与订单复盘'!$I$2:$I$301,"&gt;="&amp;$A38,'视频与订单复盘'!$I$2:$I$301,"&lt;"&amp;$C38,'视频与订单复盘'!$AF$2:$AF$301,"可汇总",'视频与订单复盘'!$H$2:$H$301,$B38)))</f>
        <v/>
      </c>
      <c r="K38" s="10">
        <f>IF($A38="","",IF($B38="",SUMIFS('视频与订单复盘'!$Y$2:$Y$301,'视频与订单复盘'!$I$2:$I$301,"&gt;="&amp;$A38,'视频与订单复盘'!$I$2:$I$301,"&lt;"&amp;$C38,'视频与订单复盘'!$AF$2:$AF$301,"可汇总"),SUMIFS('视频与订单复盘'!$Y$2:$Y$301,'视频与订单复盘'!$I$2:$I$301,"&gt;="&amp;$A38,'视频与订单复盘'!$I$2:$I$301,"&lt;"&amp;$C38,'视频与订单复盘'!$AF$2:$AF$301,"可汇总",'视频与订单复盘'!$H$2:$H$301,$B38)))</f>
        <v/>
      </c>
      <c r="L38" s="10">
        <f>IF($A38="","",IF($B38="",SUMIFS('寄样履约'!$R$2:$R$301,'寄样履约'!$A$2:$A$301,"&lt;&gt;",'寄样履约'!$H$2:$H$301,"&gt;="&amp;$A38,'寄样履约'!$H$2:$H$301,"&lt;"&amp;$C38),SUMIFS('寄样履约'!$R$2:$R$301,'寄样履约'!$A$2:$A$301,"&lt;&gt;",'寄样履约'!$H$2:$H$301,"&gt;="&amp;$A38,'寄样履约'!$H$2:$H$301,"&lt;"&amp;$C38,'寄样履约'!$D$2:$D$301,$B38)))</f>
        <v/>
      </c>
    </row>
    <row r="39" spans="3:12" ht="34" customHeight="1">
      <c r="C39" s="11">
        <f>IF(A39="","",A39+7)</f>
        <v/>
      </c>
      <c r="D39" s="9">
        <f>IF($A39="","",IF($B39="",COUNTIFS('达人线索与合作'!$A$2:$A$301,"&lt;&gt;",'达人线索与合作'!$U$2:$U$301,"&gt;="&amp;$A39,'达人线索与合作'!$U$2:$U$301,"&lt;"&amp;$C39),COUNTIFS('达人线索与合作'!$A$2:$A$301,"&lt;&gt;",'达人线索与合作'!$U$2:$U$301,"&gt;="&amp;$A39,'达人线索与合作'!$U$2:$U$301,"&lt;"&amp;$C39,'达人线索与合作'!$F$2:$F$301,$B39)))</f>
        <v/>
      </c>
      <c r="E39" s="9">
        <f>IF($A39="","",IF($B39="",COUNTIFS('达人线索与合作'!$A$2:$A$301,"&lt;&gt;",'达人线索与合作'!$AC$2:$AC$301,"&gt;="&amp;$A39,'达人线索与合作'!$AC$2:$AC$301,"&lt;"&amp;$C39),COUNTIFS('达人线索与合作'!$A$2:$A$301,"&lt;&gt;",'达人线索与合作'!$AC$2:$AC$301,"&gt;="&amp;$A39,'达人线索与合作'!$AC$2:$AC$301,"&lt;"&amp;$C39,'达人线索与合作'!$F$2:$F$301,$B39)))</f>
        <v/>
      </c>
      <c r="F39" s="9">
        <f>IF($A39="","",IF($B39="",COUNTIFS('达人线索与合作'!$B$2:$B$301,"&lt;&gt;",'达人线索与合作'!$AD$2:$AD$301,"&gt;="&amp;$A39,'达人线索与合作'!$AD$2:$AD$301,"&lt;"&amp;$C39),COUNTIFS('达人线索与合作'!$B$2:$B$301,"&lt;&gt;",'达人线索与合作'!$AD$2:$AD$301,"&gt;="&amp;$A39,'达人线索与合作'!$AD$2:$AD$301,"&lt;"&amp;$C39,'达人线索与合作'!$F$2:$F$301,$B39)))</f>
        <v/>
      </c>
      <c r="G39" s="9">
        <f>IF($A39="","",IF($B39="",COUNTIFS('寄样履约'!$A$2:$A$301,"&lt;&gt;",'寄样履约'!$H$2:$H$301,"&gt;="&amp;$A39,'寄样履约'!$H$2:$H$301,"&lt;"&amp;$C39),COUNTIFS('寄样履约'!$A$2:$A$301,"&lt;&gt;",'寄样履约'!$H$2:$H$301,"&gt;="&amp;$A39,'寄样履约'!$H$2:$H$301,"&lt;"&amp;$C39,'寄样履约'!$D$2:$D$301,$B39)))</f>
        <v/>
      </c>
      <c r="H39" s="9">
        <f>IF($A39="","",IF($B39="",COUNTIFS('寄样履约'!$A$2:$A$301,"&lt;&gt;",'寄样履约'!$K$2:$K$301,"&gt;="&amp;$A39,'寄样履约'!$K$2:$K$301,"&lt;"&amp;$C39),COUNTIFS('寄样履约'!$A$2:$A$301,"&lt;&gt;",'寄样履约'!$K$2:$K$301,"&gt;="&amp;$A39,'寄样履约'!$K$2:$K$301,"&lt;"&amp;$C39,'寄样履约'!$D$2:$D$301,$B39)))</f>
        <v/>
      </c>
      <c r="I39" s="9">
        <f>IF($A39="","",IF($B39="",SUMIFS('视频与订单复盘'!$AG$2:$AG$301,'视频与订单复盘'!$I$2:$I$301,"&gt;="&amp;$A39,'视频与订单复盘'!$I$2:$I$301,"&lt;"&amp;$C39),SUMIFS('视频与订单复盘'!$AG$2:$AG$301,'视频与订单复盘'!$I$2:$I$301,"&gt;="&amp;$A39,'视频与订单复盘'!$I$2:$I$301,"&lt;"&amp;$C39,'视频与订单复盘'!$H$2:$H$301,$B39)))</f>
        <v/>
      </c>
      <c r="J39" s="10">
        <f>IF($A39="","",IF($B39="",SUMIFS('视频与订单复盘'!$P$2:$P$301,'视频与订单复盘'!$I$2:$I$301,"&gt;="&amp;$A39,'视频与订单复盘'!$I$2:$I$301,"&lt;"&amp;$C39,'视频与订单复盘'!$AF$2:$AF$301,"可汇总"),SUMIFS('视频与订单复盘'!$P$2:$P$301,'视频与订单复盘'!$I$2:$I$301,"&gt;="&amp;$A39,'视频与订单复盘'!$I$2:$I$301,"&lt;"&amp;$C39,'视频与订单复盘'!$AF$2:$AF$301,"可汇总",'视频与订单复盘'!$H$2:$H$301,$B39)))</f>
        <v/>
      </c>
      <c r="K39" s="10">
        <f>IF($A39="","",IF($B39="",SUMIFS('视频与订单复盘'!$Y$2:$Y$301,'视频与订单复盘'!$I$2:$I$301,"&gt;="&amp;$A39,'视频与订单复盘'!$I$2:$I$301,"&lt;"&amp;$C39,'视频与订单复盘'!$AF$2:$AF$301,"可汇总"),SUMIFS('视频与订单复盘'!$Y$2:$Y$301,'视频与订单复盘'!$I$2:$I$301,"&gt;="&amp;$A39,'视频与订单复盘'!$I$2:$I$301,"&lt;"&amp;$C39,'视频与订单复盘'!$AF$2:$AF$301,"可汇总",'视频与订单复盘'!$H$2:$H$301,$B39)))</f>
        <v/>
      </c>
      <c r="L39" s="10">
        <f>IF($A39="","",IF($B39="",SUMIFS('寄样履约'!$R$2:$R$301,'寄样履约'!$A$2:$A$301,"&lt;&gt;",'寄样履约'!$H$2:$H$301,"&gt;="&amp;$A39,'寄样履约'!$H$2:$H$301,"&lt;"&amp;$C39),SUMIFS('寄样履约'!$R$2:$R$301,'寄样履约'!$A$2:$A$301,"&lt;&gt;",'寄样履约'!$H$2:$H$301,"&gt;="&amp;$A39,'寄样履约'!$H$2:$H$301,"&lt;"&amp;$C39,'寄样履约'!$D$2:$D$301,$B39)))</f>
        <v/>
      </c>
    </row>
    <row r="40" spans="3:12" ht="34" customHeight="1">
      <c r="C40" s="11">
        <f>IF(A40="","",A40+7)</f>
        <v/>
      </c>
      <c r="D40" s="9">
        <f>IF($A40="","",IF($B40="",COUNTIFS('达人线索与合作'!$A$2:$A$301,"&lt;&gt;",'达人线索与合作'!$U$2:$U$301,"&gt;="&amp;$A40,'达人线索与合作'!$U$2:$U$301,"&lt;"&amp;$C40),COUNTIFS('达人线索与合作'!$A$2:$A$301,"&lt;&gt;",'达人线索与合作'!$U$2:$U$301,"&gt;="&amp;$A40,'达人线索与合作'!$U$2:$U$301,"&lt;"&amp;$C40,'达人线索与合作'!$F$2:$F$301,$B40)))</f>
        <v/>
      </c>
      <c r="E40" s="9">
        <f>IF($A40="","",IF($B40="",COUNTIFS('达人线索与合作'!$A$2:$A$301,"&lt;&gt;",'达人线索与合作'!$AC$2:$AC$301,"&gt;="&amp;$A40,'达人线索与合作'!$AC$2:$AC$301,"&lt;"&amp;$C40),COUNTIFS('达人线索与合作'!$A$2:$A$301,"&lt;&gt;",'达人线索与合作'!$AC$2:$AC$301,"&gt;="&amp;$A40,'达人线索与合作'!$AC$2:$AC$301,"&lt;"&amp;$C40,'达人线索与合作'!$F$2:$F$301,$B40)))</f>
        <v/>
      </c>
      <c r="F40" s="9">
        <f>IF($A40="","",IF($B40="",COUNTIFS('达人线索与合作'!$B$2:$B$301,"&lt;&gt;",'达人线索与合作'!$AD$2:$AD$301,"&gt;="&amp;$A40,'达人线索与合作'!$AD$2:$AD$301,"&lt;"&amp;$C40),COUNTIFS('达人线索与合作'!$B$2:$B$301,"&lt;&gt;",'达人线索与合作'!$AD$2:$AD$301,"&gt;="&amp;$A40,'达人线索与合作'!$AD$2:$AD$301,"&lt;"&amp;$C40,'达人线索与合作'!$F$2:$F$301,$B40)))</f>
        <v/>
      </c>
      <c r="G40" s="9">
        <f>IF($A40="","",IF($B40="",COUNTIFS('寄样履约'!$A$2:$A$301,"&lt;&gt;",'寄样履约'!$H$2:$H$301,"&gt;="&amp;$A40,'寄样履约'!$H$2:$H$301,"&lt;"&amp;$C40),COUNTIFS('寄样履约'!$A$2:$A$301,"&lt;&gt;",'寄样履约'!$H$2:$H$301,"&gt;="&amp;$A40,'寄样履约'!$H$2:$H$301,"&lt;"&amp;$C40,'寄样履约'!$D$2:$D$301,$B40)))</f>
        <v/>
      </c>
      <c r="H40" s="9">
        <f>IF($A40="","",IF($B40="",COUNTIFS('寄样履约'!$A$2:$A$301,"&lt;&gt;",'寄样履约'!$K$2:$K$301,"&gt;="&amp;$A40,'寄样履约'!$K$2:$K$301,"&lt;"&amp;$C40),COUNTIFS('寄样履约'!$A$2:$A$301,"&lt;&gt;",'寄样履约'!$K$2:$K$301,"&gt;="&amp;$A40,'寄样履约'!$K$2:$K$301,"&lt;"&amp;$C40,'寄样履约'!$D$2:$D$301,$B40)))</f>
        <v/>
      </c>
      <c r="I40" s="9">
        <f>IF($A40="","",IF($B40="",SUMIFS('视频与订单复盘'!$AG$2:$AG$301,'视频与订单复盘'!$I$2:$I$301,"&gt;="&amp;$A40,'视频与订单复盘'!$I$2:$I$301,"&lt;"&amp;$C40),SUMIFS('视频与订单复盘'!$AG$2:$AG$301,'视频与订单复盘'!$I$2:$I$301,"&gt;="&amp;$A40,'视频与订单复盘'!$I$2:$I$301,"&lt;"&amp;$C40,'视频与订单复盘'!$H$2:$H$301,$B40)))</f>
        <v/>
      </c>
      <c r="J40" s="10">
        <f>IF($A40="","",IF($B40="",SUMIFS('视频与订单复盘'!$P$2:$P$301,'视频与订单复盘'!$I$2:$I$301,"&gt;="&amp;$A40,'视频与订单复盘'!$I$2:$I$301,"&lt;"&amp;$C40,'视频与订单复盘'!$AF$2:$AF$301,"可汇总"),SUMIFS('视频与订单复盘'!$P$2:$P$301,'视频与订单复盘'!$I$2:$I$301,"&gt;="&amp;$A40,'视频与订单复盘'!$I$2:$I$301,"&lt;"&amp;$C40,'视频与订单复盘'!$AF$2:$AF$301,"可汇总",'视频与订单复盘'!$H$2:$H$301,$B40)))</f>
        <v/>
      </c>
      <c r="K40" s="10">
        <f>IF($A40="","",IF($B40="",SUMIFS('视频与订单复盘'!$Y$2:$Y$301,'视频与订单复盘'!$I$2:$I$301,"&gt;="&amp;$A40,'视频与订单复盘'!$I$2:$I$301,"&lt;"&amp;$C40,'视频与订单复盘'!$AF$2:$AF$301,"可汇总"),SUMIFS('视频与订单复盘'!$Y$2:$Y$301,'视频与订单复盘'!$I$2:$I$301,"&gt;="&amp;$A40,'视频与订单复盘'!$I$2:$I$301,"&lt;"&amp;$C40,'视频与订单复盘'!$AF$2:$AF$301,"可汇总",'视频与订单复盘'!$H$2:$H$301,$B40)))</f>
        <v/>
      </c>
      <c r="L40" s="10">
        <f>IF($A40="","",IF($B40="",SUMIFS('寄样履约'!$R$2:$R$301,'寄样履约'!$A$2:$A$301,"&lt;&gt;",'寄样履约'!$H$2:$H$301,"&gt;="&amp;$A40,'寄样履约'!$H$2:$H$301,"&lt;"&amp;$C40),SUMIFS('寄样履约'!$R$2:$R$301,'寄样履约'!$A$2:$A$301,"&lt;&gt;",'寄样履约'!$H$2:$H$301,"&gt;="&amp;$A40,'寄样履约'!$H$2:$H$301,"&lt;"&amp;$C40,'寄样履约'!$D$2:$D$301,$B40)))</f>
        <v/>
      </c>
    </row>
    <row r="41" spans="3:12" ht="34" customHeight="1">
      <c r="C41" s="11">
        <f>IF(A41="","",A41+7)</f>
        <v/>
      </c>
      <c r="D41" s="9">
        <f>IF($A41="","",IF($B41="",COUNTIFS('达人线索与合作'!$A$2:$A$301,"&lt;&gt;",'达人线索与合作'!$U$2:$U$301,"&gt;="&amp;$A41,'达人线索与合作'!$U$2:$U$301,"&lt;"&amp;$C41),COUNTIFS('达人线索与合作'!$A$2:$A$301,"&lt;&gt;",'达人线索与合作'!$U$2:$U$301,"&gt;="&amp;$A41,'达人线索与合作'!$U$2:$U$301,"&lt;"&amp;$C41,'达人线索与合作'!$F$2:$F$301,$B41)))</f>
        <v/>
      </c>
      <c r="E41" s="9">
        <f>IF($A41="","",IF($B41="",COUNTIFS('达人线索与合作'!$A$2:$A$301,"&lt;&gt;",'达人线索与合作'!$AC$2:$AC$301,"&gt;="&amp;$A41,'达人线索与合作'!$AC$2:$AC$301,"&lt;"&amp;$C41),COUNTIFS('达人线索与合作'!$A$2:$A$301,"&lt;&gt;",'达人线索与合作'!$AC$2:$AC$301,"&gt;="&amp;$A41,'达人线索与合作'!$AC$2:$AC$301,"&lt;"&amp;$C41,'达人线索与合作'!$F$2:$F$301,$B41)))</f>
        <v/>
      </c>
      <c r="F41" s="9">
        <f>IF($A41="","",IF($B41="",COUNTIFS('达人线索与合作'!$B$2:$B$301,"&lt;&gt;",'达人线索与合作'!$AD$2:$AD$301,"&gt;="&amp;$A41,'达人线索与合作'!$AD$2:$AD$301,"&lt;"&amp;$C41),COUNTIFS('达人线索与合作'!$B$2:$B$301,"&lt;&gt;",'达人线索与合作'!$AD$2:$AD$301,"&gt;="&amp;$A41,'达人线索与合作'!$AD$2:$AD$301,"&lt;"&amp;$C41,'达人线索与合作'!$F$2:$F$301,$B41)))</f>
        <v/>
      </c>
      <c r="G41" s="9">
        <f>IF($A41="","",IF($B41="",COUNTIFS('寄样履约'!$A$2:$A$301,"&lt;&gt;",'寄样履约'!$H$2:$H$301,"&gt;="&amp;$A41,'寄样履约'!$H$2:$H$301,"&lt;"&amp;$C41),COUNTIFS('寄样履约'!$A$2:$A$301,"&lt;&gt;",'寄样履约'!$H$2:$H$301,"&gt;="&amp;$A41,'寄样履约'!$H$2:$H$301,"&lt;"&amp;$C41,'寄样履约'!$D$2:$D$301,$B41)))</f>
        <v/>
      </c>
      <c r="H41" s="9">
        <f>IF($A41="","",IF($B41="",COUNTIFS('寄样履约'!$A$2:$A$301,"&lt;&gt;",'寄样履约'!$K$2:$K$301,"&gt;="&amp;$A41,'寄样履约'!$K$2:$K$301,"&lt;"&amp;$C41),COUNTIFS('寄样履约'!$A$2:$A$301,"&lt;&gt;",'寄样履约'!$K$2:$K$301,"&gt;="&amp;$A41,'寄样履约'!$K$2:$K$301,"&lt;"&amp;$C41,'寄样履约'!$D$2:$D$301,$B41)))</f>
        <v/>
      </c>
      <c r="I41" s="9">
        <f>IF($A41="","",IF($B41="",SUMIFS('视频与订单复盘'!$AG$2:$AG$301,'视频与订单复盘'!$I$2:$I$301,"&gt;="&amp;$A41,'视频与订单复盘'!$I$2:$I$301,"&lt;"&amp;$C41),SUMIFS('视频与订单复盘'!$AG$2:$AG$301,'视频与订单复盘'!$I$2:$I$301,"&gt;="&amp;$A41,'视频与订单复盘'!$I$2:$I$301,"&lt;"&amp;$C41,'视频与订单复盘'!$H$2:$H$301,$B41)))</f>
        <v/>
      </c>
      <c r="J41" s="10">
        <f>IF($A41="","",IF($B41="",SUMIFS('视频与订单复盘'!$P$2:$P$301,'视频与订单复盘'!$I$2:$I$301,"&gt;="&amp;$A41,'视频与订单复盘'!$I$2:$I$301,"&lt;"&amp;$C41,'视频与订单复盘'!$AF$2:$AF$301,"可汇总"),SUMIFS('视频与订单复盘'!$P$2:$P$301,'视频与订单复盘'!$I$2:$I$301,"&gt;="&amp;$A41,'视频与订单复盘'!$I$2:$I$301,"&lt;"&amp;$C41,'视频与订单复盘'!$AF$2:$AF$301,"可汇总",'视频与订单复盘'!$H$2:$H$301,$B41)))</f>
        <v/>
      </c>
      <c r="K41" s="10">
        <f>IF($A41="","",IF($B41="",SUMIFS('视频与订单复盘'!$Y$2:$Y$301,'视频与订单复盘'!$I$2:$I$301,"&gt;="&amp;$A41,'视频与订单复盘'!$I$2:$I$301,"&lt;"&amp;$C41,'视频与订单复盘'!$AF$2:$AF$301,"可汇总"),SUMIFS('视频与订单复盘'!$Y$2:$Y$301,'视频与订单复盘'!$I$2:$I$301,"&gt;="&amp;$A41,'视频与订单复盘'!$I$2:$I$301,"&lt;"&amp;$C41,'视频与订单复盘'!$AF$2:$AF$301,"可汇总",'视频与订单复盘'!$H$2:$H$301,$B41)))</f>
        <v/>
      </c>
      <c r="L41" s="10">
        <f>IF($A41="","",IF($B41="",SUMIFS('寄样履约'!$R$2:$R$301,'寄样履约'!$A$2:$A$301,"&lt;&gt;",'寄样履约'!$H$2:$H$301,"&gt;="&amp;$A41,'寄样履约'!$H$2:$H$301,"&lt;"&amp;$C41),SUMIFS('寄样履约'!$R$2:$R$301,'寄样履约'!$A$2:$A$301,"&lt;&gt;",'寄样履约'!$H$2:$H$301,"&gt;="&amp;$A41,'寄样履约'!$H$2:$H$301,"&lt;"&amp;$C41,'寄样履约'!$D$2:$D$301,$B41)))</f>
        <v/>
      </c>
    </row>
    <row r="42" spans="3:12" ht="34" customHeight="1">
      <c r="C42" s="11">
        <f>IF(A42="","",A42+7)</f>
        <v/>
      </c>
      <c r="D42" s="9">
        <f>IF($A42="","",IF($B42="",COUNTIFS('达人线索与合作'!$A$2:$A$301,"&lt;&gt;",'达人线索与合作'!$U$2:$U$301,"&gt;="&amp;$A42,'达人线索与合作'!$U$2:$U$301,"&lt;"&amp;$C42),COUNTIFS('达人线索与合作'!$A$2:$A$301,"&lt;&gt;",'达人线索与合作'!$U$2:$U$301,"&gt;="&amp;$A42,'达人线索与合作'!$U$2:$U$301,"&lt;"&amp;$C42,'达人线索与合作'!$F$2:$F$301,$B42)))</f>
        <v/>
      </c>
      <c r="E42" s="9">
        <f>IF($A42="","",IF($B42="",COUNTIFS('达人线索与合作'!$A$2:$A$301,"&lt;&gt;",'达人线索与合作'!$AC$2:$AC$301,"&gt;="&amp;$A42,'达人线索与合作'!$AC$2:$AC$301,"&lt;"&amp;$C42),COUNTIFS('达人线索与合作'!$A$2:$A$301,"&lt;&gt;",'达人线索与合作'!$AC$2:$AC$301,"&gt;="&amp;$A42,'达人线索与合作'!$AC$2:$AC$301,"&lt;"&amp;$C42,'达人线索与合作'!$F$2:$F$301,$B42)))</f>
        <v/>
      </c>
      <c r="F42" s="9">
        <f>IF($A42="","",IF($B42="",COUNTIFS('达人线索与合作'!$B$2:$B$301,"&lt;&gt;",'达人线索与合作'!$AD$2:$AD$301,"&gt;="&amp;$A42,'达人线索与合作'!$AD$2:$AD$301,"&lt;"&amp;$C42),COUNTIFS('达人线索与合作'!$B$2:$B$301,"&lt;&gt;",'达人线索与合作'!$AD$2:$AD$301,"&gt;="&amp;$A42,'达人线索与合作'!$AD$2:$AD$301,"&lt;"&amp;$C42,'达人线索与合作'!$F$2:$F$301,$B42)))</f>
        <v/>
      </c>
      <c r="G42" s="9">
        <f>IF($A42="","",IF($B42="",COUNTIFS('寄样履约'!$A$2:$A$301,"&lt;&gt;",'寄样履约'!$H$2:$H$301,"&gt;="&amp;$A42,'寄样履约'!$H$2:$H$301,"&lt;"&amp;$C42),COUNTIFS('寄样履约'!$A$2:$A$301,"&lt;&gt;",'寄样履约'!$H$2:$H$301,"&gt;="&amp;$A42,'寄样履约'!$H$2:$H$301,"&lt;"&amp;$C42,'寄样履约'!$D$2:$D$301,$B42)))</f>
        <v/>
      </c>
      <c r="H42" s="9">
        <f>IF($A42="","",IF($B42="",COUNTIFS('寄样履约'!$A$2:$A$301,"&lt;&gt;",'寄样履约'!$K$2:$K$301,"&gt;="&amp;$A42,'寄样履约'!$K$2:$K$301,"&lt;"&amp;$C42),COUNTIFS('寄样履约'!$A$2:$A$301,"&lt;&gt;",'寄样履约'!$K$2:$K$301,"&gt;="&amp;$A42,'寄样履约'!$K$2:$K$301,"&lt;"&amp;$C42,'寄样履约'!$D$2:$D$301,$B42)))</f>
        <v/>
      </c>
      <c r="I42" s="9">
        <f>IF($A42="","",IF($B42="",SUMIFS('视频与订单复盘'!$AG$2:$AG$301,'视频与订单复盘'!$I$2:$I$301,"&gt;="&amp;$A42,'视频与订单复盘'!$I$2:$I$301,"&lt;"&amp;$C42),SUMIFS('视频与订单复盘'!$AG$2:$AG$301,'视频与订单复盘'!$I$2:$I$301,"&gt;="&amp;$A42,'视频与订单复盘'!$I$2:$I$301,"&lt;"&amp;$C42,'视频与订单复盘'!$H$2:$H$301,$B42)))</f>
        <v/>
      </c>
      <c r="J42" s="10">
        <f>IF($A42="","",IF($B42="",SUMIFS('视频与订单复盘'!$P$2:$P$301,'视频与订单复盘'!$I$2:$I$301,"&gt;="&amp;$A42,'视频与订单复盘'!$I$2:$I$301,"&lt;"&amp;$C42,'视频与订单复盘'!$AF$2:$AF$301,"可汇总"),SUMIFS('视频与订单复盘'!$P$2:$P$301,'视频与订单复盘'!$I$2:$I$301,"&gt;="&amp;$A42,'视频与订单复盘'!$I$2:$I$301,"&lt;"&amp;$C42,'视频与订单复盘'!$AF$2:$AF$301,"可汇总",'视频与订单复盘'!$H$2:$H$301,$B42)))</f>
        <v/>
      </c>
      <c r="K42" s="10">
        <f>IF($A42="","",IF($B42="",SUMIFS('视频与订单复盘'!$Y$2:$Y$301,'视频与订单复盘'!$I$2:$I$301,"&gt;="&amp;$A42,'视频与订单复盘'!$I$2:$I$301,"&lt;"&amp;$C42,'视频与订单复盘'!$AF$2:$AF$301,"可汇总"),SUMIFS('视频与订单复盘'!$Y$2:$Y$301,'视频与订单复盘'!$I$2:$I$301,"&gt;="&amp;$A42,'视频与订单复盘'!$I$2:$I$301,"&lt;"&amp;$C42,'视频与订单复盘'!$AF$2:$AF$301,"可汇总",'视频与订单复盘'!$H$2:$H$301,$B42)))</f>
        <v/>
      </c>
      <c r="L42" s="10">
        <f>IF($A42="","",IF($B42="",SUMIFS('寄样履约'!$R$2:$R$301,'寄样履约'!$A$2:$A$301,"&lt;&gt;",'寄样履约'!$H$2:$H$301,"&gt;="&amp;$A42,'寄样履约'!$H$2:$H$301,"&lt;"&amp;$C42),SUMIFS('寄样履约'!$R$2:$R$301,'寄样履约'!$A$2:$A$301,"&lt;&gt;",'寄样履约'!$H$2:$H$301,"&gt;="&amp;$A42,'寄样履约'!$H$2:$H$301,"&lt;"&amp;$C42,'寄样履约'!$D$2:$D$301,$B42)))</f>
        <v/>
      </c>
    </row>
    <row r="43" spans="3:12" ht="34" customHeight="1">
      <c r="C43" s="11">
        <f>IF(A43="","",A43+7)</f>
        <v/>
      </c>
      <c r="D43" s="9">
        <f>IF($A43="","",IF($B43="",COUNTIFS('达人线索与合作'!$A$2:$A$301,"&lt;&gt;",'达人线索与合作'!$U$2:$U$301,"&gt;="&amp;$A43,'达人线索与合作'!$U$2:$U$301,"&lt;"&amp;$C43),COUNTIFS('达人线索与合作'!$A$2:$A$301,"&lt;&gt;",'达人线索与合作'!$U$2:$U$301,"&gt;="&amp;$A43,'达人线索与合作'!$U$2:$U$301,"&lt;"&amp;$C43,'达人线索与合作'!$F$2:$F$301,$B43)))</f>
        <v/>
      </c>
      <c r="E43" s="9">
        <f>IF($A43="","",IF($B43="",COUNTIFS('达人线索与合作'!$A$2:$A$301,"&lt;&gt;",'达人线索与合作'!$AC$2:$AC$301,"&gt;="&amp;$A43,'达人线索与合作'!$AC$2:$AC$301,"&lt;"&amp;$C43),COUNTIFS('达人线索与合作'!$A$2:$A$301,"&lt;&gt;",'达人线索与合作'!$AC$2:$AC$301,"&gt;="&amp;$A43,'达人线索与合作'!$AC$2:$AC$301,"&lt;"&amp;$C43,'达人线索与合作'!$F$2:$F$301,$B43)))</f>
        <v/>
      </c>
      <c r="F43" s="9">
        <f>IF($A43="","",IF($B43="",COUNTIFS('达人线索与合作'!$B$2:$B$301,"&lt;&gt;",'达人线索与合作'!$AD$2:$AD$301,"&gt;="&amp;$A43,'达人线索与合作'!$AD$2:$AD$301,"&lt;"&amp;$C43),COUNTIFS('达人线索与合作'!$B$2:$B$301,"&lt;&gt;",'达人线索与合作'!$AD$2:$AD$301,"&gt;="&amp;$A43,'达人线索与合作'!$AD$2:$AD$301,"&lt;"&amp;$C43,'达人线索与合作'!$F$2:$F$301,$B43)))</f>
        <v/>
      </c>
      <c r="G43" s="9">
        <f>IF($A43="","",IF($B43="",COUNTIFS('寄样履约'!$A$2:$A$301,"&lt;&gt;",'寄样履约'!$H$2:$H$301,"&gt;="&amp;$A43,'寄样履约'!$H$2:$H$301,"&lt;"&amp;$C43),COUNTIFS('寄样履约'!$A$2:$A$301,"&lt;&gt;",'寄样履约'!$H$2:$H$301,"&gt;="&amp;$A43,'寄样履约'!$H$2:$H$301,"&lt;"&amp;$C43,'寄样履约'!$D$2:$D$301,$B43)))</f>
        <v/>
      </c>
      <c r="H43" s="9">
        <f>IF($A43="","",IF($B43="",COUNTIFS('寄样履约'!$A$2:$A$301,"&lt;&gt;",'寄样履约'!$K$2:$K$301,"&gt;="&amp;$A43,'寄样履约'!$K$2:$K$301,"&lt;"&amp;$C43),COUNTIFS('寄样履约'!$A$2:$A$301,"&lt;&gt;",'寄样履约'!$K$2:$K$301,"&gt;="&amp;$A43,'寄样履约'!$K$2:$K$301,"&lt;"&amp;$C43,'寄样履约'!$D$2:$D$301,$B43)))</f>
        <v/>
      </c>
      <c r="I43" s="9">
        <f>IF($A43="","",IF($B43="",SUMIFS('视频与订单复盘'!$AG$2:$AG$301,'视频与订单复盘'!$I$2:$I$301,"&gt;="&amp;$A43,'视频与订单复盘'!$I$2:$I$301,"&lt;"&amp;$C43),SUMIFS('视频与订单复盘'!$AG$2:$AG$301,'视频与订单复盘'!$I$2:$I$301,"&gt;="&amp;$A43,'视频与订单复盘'!$I$2:$I$301,"&lt;"&amp;$C43,'视频与订单复盘'!$H$2:$H$301,$B43)))</f>
        <v/>
      </c>
      <c r="J43" s="10">
        <f>IF($A43="","",IF($B43="",SUMIFS('视频与订单复盘'!$P$2:$P$301,'视频与订单复盘'!$I$2:$I$301,"&gt;="&amp;$A43,'视频与订单复盘'!$I$2:$I$301,"&lt;"&amp;$C43,'视频与订单复盘'!$AF$2:$AF$301,"可汇总"),SUMIFS('视频与订单复盘'!$P$2:$P$301,'视频与订单复盘'!$I$2:$I$301,"&gt;="&amp;$A43,'视频与订单复盘'!$I$2:$I$301,"&lt;"&amp;$C43,'视频与订单复盘'!$AF$2:$AF$301,"可汇总",'视频与订单复盘'!$H$2:$H$301,$B43)))</f>
        <v/>
      </c>
      <c r="K43" s="10">
        <f>IF($A43="","",IF($B43="",SUMIFS('视频与订单复盘'!$Y$2:$Y$301,'视频与订单复盘'!$I$2:$I$301,"&gt;="&amp;$A43,'视频与订单复盘'!$I$2:$I$301,"&lt;"&amp;$C43,'视频与订单复盘'!$AF$2:$AF$301,"可汇总"),SUMIFS('视频与订单复盘'!$Y$2:$Y$301,'视频与订单复盘'!$I$2:$I$301,"&gt;="&amp;$A43,'视频与订单复盘'!$I$2:$I$301,"&lt;"&amp;$C43,'视频与订单复盘'!$AF$2:$AF$301,"可汇总",'视频与订单复盘'!$H$2:$H$301,$B43)))</f>
        <v/>
      </c>
      <c r="L43" s="10">
        <f>IF($A43="","",IF($B43="",SUMIFS('寄样履约'!$R$2:$R$301,'寄样履约'!$A$2:$A$301,"&lt;&gt;",'寄样履约'!$H$2:$H$301,"&gt;="&amp;$A43,'寄样履约'!$H$2:$H$301,"&lt;"&amp;$C43),SUMIFS('寄样履约'!$R$2:$R$301,'寄样履约'!$A$2:$A$301,"&lt;&gt;",'寄样履约'!$H$2:$H$301,"&gt;="&amp;$A43,'寄样履约'!$H$2:$H$301,"&lt;"&amp;$C43,'寄样履约'!$D$2:$D$301,$B43)))</f>
        <v/>
      </c>
    </row>
    <row r="44" spans="3:12" ht="34" customHeight="1">
      <c r="C44" s="11">
        <f>IF(A44="","",A44+7)</f>
        <v/>
      </c>
      <c r="D44" s="9">
        <f>IF($A44="","",IF($B44="",COUNTIFS('达人线索与合作'!$A$2:$A$301,"&lt;&gt;",'达人线索与合作'!$U$2:$U$301,"&gt;="&amp;$A44,'达人线索与合作'!$U$2:$U$301,"&lt;"&amp;$C44),COUNTIFS('达人线索与合作'!$A$2:$A$301,"&lt;&gt;",'达人线索与合作'!$U$2:$U$301,"&gt;="&amp;$A44,'达人线索与合作'!$U$2:$U$301,"&lt;"&amp;$C44,'达人线索与合作'!$F$2:$F$301,$B44)))</f>
        <v/>
      </c>
      <c r="E44" s="9">
        <f>IF($A44="","",IF($B44="",COUNTIFS('达人线索与合作'!$A$2:$A$301,"&lt;&gt;",'达人线索与合作'!$AC$2:$AC$301,"&gt;="&amp;$A44,'达人线索与合作'!$AC$2:$AC$301,"&lt;"&amp;$C44),COUNTIFS('达人线索与合作'!$A$2:$A$301,"&lt;&gt;",'达人线索与合作'!$AC$2:$AC$301,"&gt;="&amp;$A44,'达人线索与合作'!$AC$2:$AC$301,"&lt;"&amp;$C44,'达人线索与合作'!$F$2:$F$301,$B44)))</f>
        <v/>
      </c>
      <c r="F44" s="9">
        <f>IF($A44="","",IF($B44="",COUNTIFS('达人线索与合作'!$B$2:$B$301,"&lt;&gt;",'达人线索与合作'!$AD$2:$AD$301,"&gt;="&amp;$A44,'达人线索与合作'!$AD$2:$AD$301,"&lt;"&amp;$C44),COUNTIFS('达人线索与合作'!$B$2:$B$301,"&lt;&gt;",'达人线索与合作'!$AD$2:$AD$301,"&gt;="&amp;$A44,'达人线索与合作'!$AD$2:$AD$301,"&lt;"&amp;$C44,'达人线索与合作'!$F$2:$F$301,$B44)))</f>
        <v/>
      </c>
      <c r="G44" s="9">
        <f>IF($A44="","",IF($B44="",COUNTIFS('寄样履约'!$A$2:$A$301,"&lt;&gt;",'寄样履约'!$H$2:$H$301,"&gt;="&amp;$A44,'寄样履约'!$H$2:$H$301,"&lt;"&amp;$C44),COUNTIFS('寄样履约'!$A$2:$A$301,"&lt;&gt;",'寄样履约'!$H$2:$H$301,"&gt;="&amp;$A44,'寄样履约'!$H$2:$H$301,"&lt;"&amp;$C44,'寄样履约'!$D$2:$D$301,$B44)))</f>
        <v/>
      </c>
      <c r="H44" s="9">
        <f>IF($A44="","",IF($B44="",COUNTIFS('寄样履约'!$A$2:$A$301,"&lt;&gt;",'寄样履约'!$K$2:$K$301,"&gt;="&amp;$A44,'寄样履约'!$K$2:$K$301,"&lt;"&amp;$C44),COUNTIFS('寄样履约'!$A$2:$A$301,"&lt;&gt;",'寄样履约'!$K$2:$K$301,"&gt;="&amp;$A44,'寄样履约'!$K$2:$K$301,"&lt;"&amp;$C44,'寄样履约'!$D$2:$D$301,$B44)))</f>
        <v/>
      </c>
      <c r="I44" s="9">
        <f>IF($A44="","",IF($B44="",SUMIFS('视频与订单复盘'!$AG$2:$AG$301,'视频与订单复盘'!$I$2:$I$301,"&gt;="&amp;$A44,'视频与订单复盘'!$I$2:$I$301,"&lt;"&amp;$C44),SUMIFS('视频与订单复盘'!$AG$2:$AG$301,'视频与订单复盘'!$I$2:$I$301,"&gt;="&amp;$A44,'视频与订单复盘'!$I$2:$I$301,"&lt;"&amp;$C44,'视频与订单复盘'!$H$2:$H$301,$B44)))</f>
        <v/>
      </c>
      <c r="J44" s="10">
        <f>IF($A44="","",IF($B44="",SUMIFS('视频与订单复盘'!$P$2:$P$301,'视频与订单复盘'!$I$2:$I$301,"&gt;="&amp;$A44,'视频与订单复盘'!$I$2:$I$301,"&lt;"&amp;$C44,'视频与订单复盘'!$AF$2:$AF$301,"可汇总"),SUMIFS('视频与订单复盘'!$P$2:$P$301,'视频与订单复盘'!$I$2:$I$301,"&gt;="&amp;$A44,'视频与订单复盘'!$I$2:$I$301,"&lt;"&amp;$C44,'视频与订单复盘'!$AF$2:$AF$301,"可汇总",'视频与订单复盘'!$H$2:$H$301,$B44)))</f>
        <v/>
      </c>
      <c r="K44" s="10">
        <f>IF($A44="","",IF($B44="",SUMIFS('视频与订单复盘'!$Y$2:$Y$301,'视频与订单复盘'!$I$2:$I$301,"&gt;="&amp;$A44,'视频与订单复盘'!$I$2:$I$301,"&lt;"&amp;$C44,'视频与订单复盘'!$AF$2:$AF$301,"可汇总"),SUMIFS('视频与订单复盘'!$Y$2:$Y$301,'视频与订单复盘'!$I$2:$I$301,"&gt;="&amp;$A44,'视频与订单复盘'!$I$2:$I$301,"&lt;"&amp;$C44,'视频与订单复盘'!$AF$2:$AF$301,"可汇总",'视频与订单复盘'!$H$2:$H$301,$B44)))</f>
        <v/>
      </c>
      <c r="L44" s="10">
        <f>IF($A44="","",IF($B44="",SUMIFS('寄样履约'!$R$2:$R$301,'寄样履约'!$A$2:$A$301,"&lt;&gt;",'寄样履约'!$H$2:$H$301,"&gt;="&amp;$A44,'寄样履约'!$H$2:$H$301,"&lt;"&amp;$C44),SUMIFS('寄样履约'!$R$2:$R$301,'寄样履约'!$A$2:$A$301,"&lt;&gt;",'寄样履约'!$H$2:$H$301,"&gt;="&amp;$A44,'寄样履约'!$H$2:$H$301,"&lt;"&amp;$C44,'寄样履约'!$D$2:$D$301,$B44)))</f>
        <v/>
      </c>
    </row>
    <row r="45" spans="3:12" ht="34" customHeight="1">
      <c r="C45" s="11">
        <f>IF(A45="","",A45+7)</f>
        <v/>
      </c>
      <c r="D45" s="9">
        <f>IF($A45="","",IF($B45="",COUNTIFS('达人线索与合作'!$A$2:$A$301,"&lt;&gt;",'达人线索与合作'!$U$2:$U$301,"&gt;="&amp;$A45,'达人线索与合作'!$U$2:$U$301,"&lt;"&amp;$C45),COUNTIFS('达人线索与合作'!$A$2:$A$301,"&lt;&gt;",'达人线索与合作'!$U$2:$U$301,"&gt;="&amp;$A45,'达人线索与合作'!$U$2:$U$301,"&lt;"&amp;$C45,'达人线索与合作'!$F$2:$F$301,$B45)))</f>
        <v/>
      </c>
      <c r="E45" s="9">
        <f>IF($A45="","",IF($B45="",COUNTIFS('达人线索与合作'!$A$2:$A$301,"&lt;&gt;",'达人线索与合作'!$AC$2:$AC$301,"&gt;="&amp;$A45,'达人线索与合作'!$AC$2:$AC$301,"&lt;"&amp;$C45),COUNTIFS('达人线索与合作'!$A$2:$A$301,"&lt;&gt;",'达人线索与合作'!$AC$2:$AC$301,"&gt;="&amp;$A45,'达人线索与合作'!$AC$2:$AC$301,"&lt;"&amp;$C45,'达人线索与合作'!$F$2:$F$301,$B45)))</f>
        <v/>
      </c>
      <c r="F45" s="9">
        <f>IF($A45="","",IF($B45="",COUNTIFS('达人线索与合作'!$B$2:$B$301,"&lt;&gt;",'达人线索与合作'!$AD$2:$AD$301,"&gt;="&amp;$A45,'达人线索与合作'!$AD$2:$AD$301,"&lt;"&amp;$C45),COUNTIFS('达人线索与合作'!$B$2:$B$301,"&lt;&gt;",'达人线索与合作'!$AD$2:$AD$301,"&gt;="&amp;$A45,'达人线索与合作'!$AD$2:$AD$301,"&lt;"&amp;$C45,'达人线索与合作'!$F$2:$F$301,$B45)))</f>
        <v/>
      </c>
      <c r="G45" s="9">
        <f>IF($A45="","",IF($B45="",COUNTIFS('寄样履约'!$A$2:$A$301,"&lt;&gt;",'寄样履约'!$H$2:$H$301,"&gt;="&amp;$A45,'寄样履约'!$H$2:$H$301,"&lt;"&amp;$C45),COUNTIFS('寄样履约'!$A$2:$A$301,"&lt;&gt;",'寄样履约'!$H$2:$H$301,"&gt;="&amp;$A45,'寄样履约'!$H$2:$H$301,"&lt;"&amp;$C45,'寄样履约'!$D$2:$D$301,$B45)))</f>
        <v/>
      </c>
      <c r="H45" s="9">
        <f>IF($A45="","",IF($B45="",COUNTIFS('寄样履约'!$A$2:$A$301,"&lt;&gt;",'寄样履约'!$K$2:$K$301,"&gt;="&amp;$A45,'寄样履约'!$K$2:$K$301,"&lt;"&amp;$C45),COUNTIFS('寄样履约'!$A$2:$A$301,"&lt;&gt;",'寄样履约'!$K$2:$K$301,"&gt;="&amp;$A45,'寄样履约'!$K$2:$K$301,"&lt;"&amp;$C45,'寄样履约'!$D$2:$D$301,$B45)))</f>
        <v/>
      </c>
      <c r="I45" s="9">
        <f>IF($A45="","",IF($B45="",SUMIFS('视频与订单复盘'!$AG$2:$AG$301,'视频与订单复盘'!$I$2:$I$301,"&gt;="&amp;$A45,'视频与订单复盘'!$I$2:$I$301,"&lt;"&amp;$C45),SUMIFS('视频与订单复盘'!$AG$2:$AG$301,'视频与订单复盘'!$I$2:$I$301,"&gt;="&amp;$A45,'视频与订单复盘'!$I$2:$I$301,"&lt;"&amp;$C45,'视频与订单复盘'!$H$2:$H$301,$B45)))</f>
        <v/>
      </c>
      <c r="J45" s="10">
        <f>IF($A45="","",IF($B45="",SUMIFS('视频与订单复盘'!$P$2:$P$301,'视频与订单复盘'!$I$2:$I$301,"&gt;="&amp;$A45,'视频与订单复盘'!$I$2:$I$301,"&lt;"&amp;$C45,'视频与订单复盘'!$AF$2:$AF$301,"可汇总"),SUMIFS('视频与订单复盘'!$P$2:$P$301,'视频与订单复盘'!$I$2:$I$301,"&gt;="&amp;$A45,'视频与订单复盘'!$I$2:$I$301,"&lt;"&amp;$C45,'视频与订单复盘'!$AF$2:$AF$301,"可汇总",'视频与订单复盘'!$H$2:$H$301,$B45)))</f>
        <v/>
      </c>
      <c r="K45" s="10">
        <f>IF($A45="","",IF($B45="",SUMIFS('视频与订单复盘'!$Y$2:$Y$301,'视频与订单复盘'!$I$2:$I$301,"&gt;="&amp;$A45,'视频与订单复盘'!$I$2:$I$301,"&lt;"&amp;$C45,'视频与订单复盘'!$AF$2:$AF$301,"可汇总"),SUMIFS('视频与订单复盘'!$Y$2:$Y$301,'视频与订单复盘'!$I$2:$I$301,"&gt;="&amp;$A45,'视频与订单复盘'!$I$2:$I$301,"&lt;"&amp;$C45,'视频与订单复盘'!$AF$2:$AF$301,"可汇总",'视频与订单复盘'!$H$2:$H$301,$B45)))</f>
        <v/>
      </c>
      <c r="L45" s="10">
        <f>IF($A45="","",IF($B45="",SUMIFS('寄样履约'!$R$2:$R$301,'寄样履约'!$A$2:$A$301,"&lt;&gt;",'寄样履约'!$H$2:$H$301,"&gt;="&amp;$A45,'寄样履约'!$H$2:$H$301,"&lt;"&amp;$C45),SUMIFS('寄样履约'!$R$2:$R$301,'寄样履约'!$A$2:$A$301,"&lt;&gt;",'寄样履约'!$H$2:$H$301,"&gt;="&amp;$A45,'寄样履约'!$H$2:$H$301,"&lt;"&amp;$C45,'寄样履约'!$D$2:$D$301,$B45)))</f>
        <v/>
      </c>
    </row>
    <row r="46" spans="3:12" ht="34" customHeight="1">
      <c r="C46" s="11">
        <f>IF(A46="","",A46+7)</f>
        <v/>
      </c>
      <c r="D46" s="9">
        <f>IF($A46="","",IF($B46="",COUNTIFS('达人线索与合作'!$A$2:$A$301,"&lt;&gt;",'达人线索与合作'!$U$2:$U$301,"&gt;="&amp;$A46,'达人线索与合作'!$U$2:$U$301,"&lt;"&amp;$C46),COUNTIFS('达人线索与合作'!$A$2:$A$301,"&lt;&gt;",'达人线索与合作'!$U$2:$U$301,"&gt;="&amp;$A46,'达人线索与合作'!$U$2:$U$301,"&lt;"&amp;$C46,'达人线索与合作'!$F$2:$F$301,$B46)))</f>
        <v/>
      </c>
      <c r="E46" s="9">
        <f>IF($A46="","",IF($B46="",COUNTIFS('达人线索与合作'!$A$2:$A$301,"&lt;&gt;",'达人线索与合作'!$AC$2:$AC$301,"&gt;="&amp;$A46,'达人线索与合作'!$AC$2:$AC$301,"&lt;"&amp;$C46),COUNTIFS('达人线索与合作'!$A$2:$A$301,"&lt;&gt;",'达人线索与合作'!$AC$2:$AC$301,"&gt;="&amp;$A46,'达人线索与合作'!$AC$2:$AC$301,"&lt;"&amp;$C46,'达人线索与合作'!$F$2:$F$301,$B46)))</f>
        <v/>
      </c>
      <c r="F46" s="9">
        <f>IF($A46="","",IF($B46="",COUNTIFS('达人线索与合作'!$B$2:$B$301,"&lt;&gt;",'达人线索与合作'!$AD$2:$AD$301,"&gt;="&amp;$A46,'达人线索与合作'!$AD$2:$AD$301,"&lt;"&amp;$C46),COUNTIFS('达人线索与合作'!$B$2:$B$301,"&lt;&gt;",'达人线索与合作'!$AD$2:$AD$301,"&gt;="&amp;$A46,'达人线索与合作'!$AD$2:$AD$301,"&lt;"&amp;$C46,'达人线索与合作'!$F$2:$F$301,$B46)))</f>
        <v/>
      </c>
      <c r="G46" s="9">
        <f>IF($A46="","",IF($B46="",COUNTIFS('寄样履约'!$A$2:$A$301,"&lt;&gt;",'寄样履约'!$H$2:$H$301,"&gt;="&amp;$A46,'寄样履约'!$H$2:$H$301,"&lt;"&amp;$C46),COUNTIFS('寄样履约'!$A$2:$A$301,"&lt;&gt;",'寄样履约'!$H$2:$H$301,"&gt;="&amp;$A46,'寄样履约'!$H$2:$H$301,"&lt;"&amp;$C46,'寄样履约'!$D$2:$D$301,$B46)))</f>
        <v/>
      </c>
      <c r="H46" s="9">
        <f>IF($A46="","",IF($B46="",COUNTIFS('寄样履约'!$A$2:$A$301,"&lt;&gt;",'寄样履约'!$K$2:$K$301,"&gt;="&amp;$A46,'寄样履约'!$K$2:$K$301,"&lt;"&amp;$C46),COUNTIFS('寄样履约'!$A$2:$A$301,"&lt;&gt;",'寄样履约'!$K$2:$K$301,"&gt;="&amp;$A46,'寄样履约'!$K$2:$K$301,"&lt;"&amp;$C46,'寄样履约'!$D$2:$D$301,$B46)))</f>
        <v/>
      </c>
      <c r="I46" s="9">
        <f>IF($A46="","",IF($B46="",SUMIFS('视频与订单复盘'!$AG$2:$AG$301,'视频与订单复盘'!$I$2:$I$301,"&gt;="&amp;$A46,'视频与订单复盘'!$I$2:$I$301,"&lt;"&amp;$C46),SUMIFS('视频与订单复盘'!$AG$2:$AG$301,'视频与订单复盘'!$I$2:$I$301,"&gt;="&amp;$A46,'视频与订单复盘'!$I$2:$I$301,"&lt;"&amp;$C46,'视频与订单复盘'!$H$2:$H$301,$B46)))</f>
        <v/>
      </c>
      <c r="J46" s="10">
        <f>IF($A46="","",IF($B46="",SUMIFS('视频与订单复盘'!$P$2:$P$301,'视频与订单复盘'!$I$2:$I$301,"&gt;="&amp;$A46,'视频与订单复盘'!$I$2:$I$301,"&lt;"&amp;$C46,'视频与订单复盘'!$AF$2:$AF$301,"可汇总"),SUMIFS('视频与订单复盘'!$P$2:$P$301,'视频与订单复盘'!$I$2:$I$301,"&gt;="&amp;$A46,'视频与订单复盘'!$I$2:$I$301,"&lt;"&amp;$C46,'视频与订单复盘'!$AF$2:$AF$301,"可汇总",'视频与订单复盘'!$H$2:$H$301,$B46)))</f>
        <v/>
      </c>
      <c r="K46" s="10">
        <f>IF($A46="","",IF($B46="",SUMIFS('视频与订单复盘'!$Y$2:$Y$301,'视频与订单复盘'!$I$2:$I$301,"&gt;="&amp;$A46,'视频与订单复盘'!$I$2:$I$301,"&lt;"&amp;$C46,'视频与订单复盘'!$AF$2:$AF$301,"可汇总"),SUMIFS('视频与订单复盘'!$Y$2:$Y$301,'视频与订单复盘'!$I$2:$I$301,"&gt;="&amp;$A46,'视频与订单复盘'!$I$2:$I$301,"&lt;"&amp;$C46,'视频与订单复盘'!$AF$2:$AF$301,"可汇总",'视频与订单复盘'!$H$2:$H$301,$B46)))</f>
        <v/>
      </c>
      <c r="L46" s="10">
        <f>IF($A46="","",IF($B46="",SUMIFS('寄样履约'!$R$2:$R$301,'寄样履约'!$A$2:$A$301,"&lt;&gt;",'寄样履约'!$H$2:$H$301,"&gt;="&amp;$A46,'寄样履约'!$H$2:$H$301,"&lt;"&amp;$C46),SUMIFS('寄样履约'!$R$2:$R$301,'寄样履约'!$A$2:$A$301,"&lt;&gt;",'寄样履约'!$H$2:$H$301,"&gt;="&amp;$A46,'寄样履约'!$H$2:$H$301,"&lt;"&amp;$C46,'寄样履约'!$D$2:$D$301,$B46)))</f>
        <v/>
      </c>
    </row>
    <row r="47" spans="3:12" ht="34" customHeight="1">
      <c r="C47" s="11">
        <f>IF(A47="","",A47+7)</f>
        <v/>
      </c>
      <c r="D47" s="9">
        <f>IF($A47="","",IF($B47="",COUNTIFS('达人线索与合作'!$A$2:$A$301,"&lt;&gt;",'达人线索与合作'!$U$2:$U$301,"&gt;="&amp;$A47,'达人线索与合作'!$U$2:$U$301,"&lt;"&amp;$C47),COUNTIFS('达人线索与合作'!$A$2:$A$301,"&lt;&gt;",'达人线索与合作'!$U$2:$U$301,"&gt;="&amp;$A47,'达人线索与合作'!$U$2:$U$301,"&lt;"&amp;$C47,'达人线索与合作'!$F$2:$F$301,$B47)))</f>
        <v/>
      </c>
      <c r="E47" s="9">
        <f>IF($A47="","",IF($B47="",COUNTIFS('达人线索与合作'!$A$2:$A$301,"&lt;&gt;",'达人线索与合作'!$AC$2:$AC$301,"&gt;="&amp;$A47,'达人线索与合作'!$AC$2:$AC$301,"&lt;"&amp;$C47),COUNTIFS('达人线索与合作'!$A$2:$A$301,"&lt;&gt;",'达人线索与合作'!$AC$2:$AC$301,"&gt;="&amp;$A47,'达人线索与合作'!$AC$2:$AC$301,"&lt;"&amp;$C47,'达人线索与合作'!$F$2:$F$301,$B47)))</f>
        <v/>
      </c>
      <c r="F47" s="9">
        <f>IF($A47="","",IF($B47="",COUNTIFS('达人线索与合作'!$B$2:$B$301,"&lt;&gt;",'达人线索与合作'!$AD$2:$AD$301,"&gt;="&amp;$A47,'达人线索与合作'!$AD$2:$AD$301,"&lt;"&amp;$C47),COUNTIFS('达人线索与合作'!$B$2:$B$301,"&lt;&gt;",'达人线索与合作'!$AD$2:$AD$301,"&gt;="&amp;$A47,'达人线索与合作'!$AD$2:$AD$301,"&lt;"&amp;$C47,'达人线索与合作'!$F$2:$F$301,$B47)))</f>
        <v/>
      </c>
      <c r="G47" s="9">
        <f>IF($A47="","",IF($B47="",COUNTIFS('寄样履约'!$A$2:$A$301,"&lt;&gt;",'寄样履约'!$H$2:$H$301,"&gt;="&amp;$A47,'寄样履约'!$H$2:$H$301,"&lt;"&amp;$C47),COUNTIFS('寄样履约'!$A$2:$A$301,"&lt;&gt;",'寄样履约'!$H$2:$H$301,"&gt;="&amp;$A47,'寄样履约'!$H$2:$H$301,"&lt;"&amp;$C47,'寄样履约'!$D$2:$D$301,$B47)))</f>
        <v/>
      </c>
      <c r="H47" s="9">
        <f>IF($A47="","",IF($B47="",COUNTIFS('寄样履约'!$A$2:$A$301,"&lt;&gt;",'寄样履约'!$K$2:$K$301,"&gt;="&amp;$A47,'寄样履约'!$K$2:$K$301,"&lt;"&amp;$C47),COUNTIFS('寄样履约'!$A$2:$A$301,"&lt;&gt;",'寄样履约'!$K$2:$K$301,"&gt;="&amp;$A47,'寄样履约'!$K$2:$K$301,"&lt;"&amp;$C47,'寄样履约'!$D$2:$D$301,$B47)))</f>
        <v/>
      </c>
      <c r="I47" s="9">
        <f>IF($A47="","",IF($B47="",SUMIFS('视频与订单复盘'!$AG$2:$AG$301,'视频与订单复盘'!$I$2:$I$301,"&gt;="&amp;$A47,'视频与订单复盘'!$I$2:$I$301,"&lt;"&amp;$C47),SUMIFS('视频与订单复盘'!$AG$2:$AG$301,'视频与订单复盘'!$I$2:$I$301,"&gt;="&amp;$A47,'视频与订单复盘'!$I$2:$I$301,"&lt;"&amp;$C47,'视频与订单复盘'!$H$2:$H$301,$B47)))</f>
        <v/>
      </c>
      <c r="J47" s="10">
        <f>IF($A47="","",IF($B47="",SUMIFS('视频与订单复盘'!$P$2:$P$301,'视频与订单复盘'!$I$2:$I$301,"&gt;="&amp;$A47,'视频与订单复盘'!$I$2:$I$301,"&lt;"&amp;$C47,'视频与订单复盘'!$AF$2:$AF$301,"可汇总"),SUMIFS('视频与订单复盘'!$P$2:$P$301,'视频与订单复盘'!$I$2:$I$301,"&gt;="&amp;$A47,'视频与订单复盘'!$I$2:$I$301,"&lt;"&amp;$C47,'视频与订单复盘'!$AF$2:$AF$301,"可汇总",'视频与订单复盘'!$H$2:$H$301,$B47)))</f>
        <v/>
      </c>
      <c r="K47" s="10">
        <f>IF($A47="","",IF($B47="",SUMIFS('视频与订单复盘'!$Y$2:$Y$301,'视频与订单复盘'!$I$2:$I$301,"&gt;="&amp;$A47,'视频与订单复盘'!$I$2:$I$301,"&lt;"&amp;$C47,'视频与订单复盘'!$AF$2:$AF$301,"可汇总"),SUMIFS('视频与订单复盘'!$Y$2:$Y$301,'视频与订单复盘'!$I$2:$I$301,"&gt;="&amp;$A47,'视频与订单复盘'!$I$2:$I$301,"&lt;"&amp;$C47,'视频与订单复盘'!$AF$2:$AF$301,"可汇总",'视频与订单复盘'!$H$2:$H$301,$B47)))</f>
        <v/>
      </c>
      <c r="L47" s="10">
        <f>IF($A47="","",IF($B47="",SUMIFS('寄样履约'!$R$2:$R$301,'寄样履约'!$A$2:$A$301,"&lt;&gt;",'寄样履约'!$H$2:$H$301,"&gt;="&amp;$A47,'寄样履约'!$H$2:$H$301,"&lt;"&amp;$C47),SUMIFS('寄样履约'!$R$2:$R$301,'寄样履约'!$A$2:$A$301,"&lt;&gt;",'寄样履约'!$H$2:$H$301,"&gt;="&amp;$A47,'寄样履约'!$H$2:$H$301,"&lt;"&amp;$C47,'寄样履约'!$D$2:$D$301,$B47)))</f>
        <v/>
      </c>
    </row>
    <row r="48" spans="3:12" ht="34" customHeight="1">
      <c r="C48" s="11">
        <f>IF(A48="","",A48+7)</f>
        <v/>
      </c>
      <c r="D48" s="9">
        <f>IF($A48="","",IF($B48="",COUNTIFS('达人线索与合作'!$A$2:$A$301,"&lt;&gt;",'达人线索与合作'!$U$2:$U$301,"&gt;="&amp;$A48,'达人线索与合作'!$U$2:$U$301,"&lt;"&amp;$C48),COUNTIFS('达人线索与合作'!$A$2:$A$301,"&lt;&gt;",'达人线索与合作'!$U$2:$U$301,"&gt;="&amp;$A48,'达人线索与合作'!$U$2:$U$301,"&lt;"&amp;$C48,'达人线索与合作'!$F$2:$F$301,$B48)))</f>
        <v/>
      </c>
      <c r="E48" s="9">
        <f>IF($A48="","",IF($B48="",COUNTIFS('达人线索与合作'!$A$2:$A$301,"&lt;&gt;",'达人线索与合作'!$AC$2:$AC$301,"&gt;="&amp;$A48,'达人线索与合作'!$AC$2:$AC$301,"&lt;"&amp;$C48),COUNTIFS('达人线索与合作'!$A$2:$A$301,"&lt;&gt;",'达人线索与合作'!$AC$2:$AC$301,"&gt;="&amp;$A48,'达人线索与合作'!$AC$2:$AC$301,"&lt;"&amp;$C48,'达人线索与合作'!$F$2:$F$301,$B48)))</f>
        <v/>
      </c>
      <c r="F48" s="9">
        <f>IF($A48="","",IF($B48="",COUNTIFS('达人线索与合作'!$B$2:$B$301,"&lt;&gt;",'达人线索与合作'!$AD$2:$AD$301,"&gt;="&amp;$A48,'达人线索与合作'!$AD$2:$AD$301,"&lt;"&amp;$C48),COUNTIFS('达人线索与合作'!$B$2:$B$301,"&lt;&gt;",'达人线索与合作'!$AD$2:$AD$301,"&gt;="&amp;$A48,'达人线索与合作'!$AD$2:$AD$301,"&lt;"&amp;$C48,'达人线索与合作'!$F$2:$F$301,$B48)))</f>
        <v/>
      </c>
      <c r="G48" s="9">
        <f>IF($A48="","",IF($B48="",COUNTIFS('寄样履约'!$A$2:$A$301,"&lt;&gt;",'寄样履约'!$H$2:$H$301,"&gt;="&amp;$A48,'寄样履约'!$H$2:$H$301,"&lt;"&amp;$C48),COUNTIFS('寄样履约'!$A$2:$A$301,"&lt;&gt;",'寄样履约'!$H$2:$H$301,"&gt;="&amp;$A48,'寄样履约'!$H$2:$H$301,"&lt;"&amp;$C48,'寄样履约'!$D$2:$D$301,$B48)))</f>
        <v/>
      </c>
      <c r="H48" s="9">
        <f>IF($A48="","",IF($B48="",COUNTIFS('寄样履约'!$A$2:$A$301,"&lt;&gt;",'寄样履约'!$K$2:$K$301,"&gt;="&amp;$A48,'寄样履约'!$K$2:$K$301,"&lt;"&amp;$C48),COUNTIFS('寄样履约'!$A$2:$A$301,"&lt;&gt;",'寄样履约'!$K$2:$K$301,"&gt;="&amp;$A48,'寄样履约'!$K$2:$K$301,"&lt;"&amp;$C48,'寄样履约'!$D$2:$D$301,$B48)))</f>
        <v/>
      </c>
      <c r="I48" s="9">
        <f>IF($A48="","",IF($B48="",SUMIFS('视频与订单复盘'!$AG$2:$AG$301,'视频与订单复盘'!$I$2:$I$301,"&gt;="&amp;$A48,'视频与订单复盘'!$I$2:$I$301,"&lt;"&amp;$C48),SUMIFS('视频与订单复盘'!$AG$2:$AG$301,'视频与订单复盘'!$I$2:$I$301,"&gt;="&amp;$A48,'视频与订单复盘'!$I$2:$I$301,"&lt;"&amp;$C48,'视频与订单复盘'!$H$2:$H$301,$B48)))</f>
        <v/>
      </c>
      <c r="J48" s="10">
        <f>IF($A48="","",IF($B48="",SUMIFS('视频与订单复盘'!$P$2:$P$301,'视频与订单复盘'!$I$2:$I$301,"&gt;="&amp;$A48,'视频与订单复盘'!$I$2:$I$301,"&lt;"&amp;$C48,'视频与订单复盘'!$AF$2:$AF$301,"可汇总"),SUMIFS('视频与订单复盘'!$P$2:$P$301,'视频与订单复盘'!$I$2:$I$301,"&gt;="&amp;$A48,'视频与订单复盘'!$I$2:$I$301,"&lt;"&amp;$C48,'视频与订单复盘'!$AF$2:$AF$301,"可汇总",'视频与订单复盘'!$H$2:$H$301,$B48)))</f>
        <v/>
      </c>
      <c r="K48" s="10">
        <f>IF($A48="","",IF($B48="",SUMIFS('视频与订单复盘'!$Y$2:$Y$301,'视频与订单复盘'!$I$2:$I$301,"&gt;="&amp;$A48,'视频与订单复盘'!$I$2:$I$301,"&lt;"&amp;$C48,'视频与订单复盘'!$AF$2:$AF$301,"可汇总"),SUMIFS('视频与订单复盘'!$Y$2:$Y$301,'视频与订单复盘'!$I$2:$I$301,"&gt;="&amp;$A48,'视频与订单复盘'!$I$2:$I$301,"&lt;"&amp;$C48,'视频与订单复盘'!$AF$2:$AF$301,"可汇总",'视频与订单复盘'!$H$2:$H$301,$B48)))</f>
        <v/>
      </c>
      <c r="L48" s="10">
        <f>IF($A48="","",IF($B48="",SUMIFS('寄样履约'!$R$2:$R$301,'寄样履约'!$A$2:$A$301,"&lt;&gt;",'寄样履约'!$H$2:$H$301,"&gt;="&amp;$A48,'寄样履约'!$H$2:$H$301,"&lt;"&amp;$C48),SUMIFS('寄样履约'!$R$2:$R$301,'寄样履约'!$A$2:$A$301,"&lt;&gt;",'寄样履约'!$H$2:$H$301,"&gt;="&amp;$A48,'寄样履约'!$H$2:$H$301,"&lt;"&amp;$C48,'寄样履约'!$D$2:$D$301,$B48)))</f>
        <v/>
      </c>
    </row>
    <row r="49" spans="3:12" ht="34" customHeight="1">
      <c r="C49" s="11">
        <f>IF(A49="","",A49+7)</f>
        <v/>
      </c>
      <c r="D49" s="9">
        <f>IF($A49="","",IF($B49="",COUNTIFS('达人线索与合作'!$A$2:$A$301,"&lt;&gt;",'达人线索与合作'!$U$2:$U$301,"&gt;="&amp;$A49,'达人线索与合作'!$U$2:$U$301,"&lt;"&amp;$C49),COUNTIFS('达人线索与合作'!$A$2:$A$301,"&lt;&gt;",'达人线索与合作'!$U$2:$U$301,"&gt;="&amp;$A49,'达人线索与合作'!$U$2:$U$301,"&lt;"&amp;$C49,'达人线索与合作'!$F$2:$F$301,$B49)))</f>
        <v/>
      </c>
      <c r="E49" s="9">
        <f>IF($A49="","",IF($B49="",COUNTIFS('达人线索与合作'!$A$2:$A$301,"&lt;&gt;",'达人线索与合作'!$AC$2:$AC$301,"&gt;="&amp;$A49,'达人线索与合作'!$AC$2:$AC$301,"&lt;"&amp;$C49),COUNTIFS('达人线索与合作'!$A$2:$A$301,"&lt;&gt;",'达人线索与合作'!$AC$2:$AC$301,"&gt;="&amp;$A49,'达人线索与合作'!$AC$2:$AC$301,"&lt;"&amp;$C49,'达人线索与合作'!$F$2:$F$301,$B49)))</f>
        <v/>
      </c>
      <c r="F49" s="9">
        <f>IF($A49="","",IF($B49="",COUNTIFS('达人线索与合作'!$B$2:$B$301,"&lt;&gt;",'达人线索与合作'!$AD$2:$AD$301,"&gt;="&amp;$A49,'达人线索与合作'!$AD$2:$AD$301,"&lt;"&amp;$C49),COUNTIFS('达人线索与合作'!$B$2:$B$301,"&lt;&gt;",'达人线索与合作'!$AD$2:$AD$301,"&gt;="&amp;$A49,'达人线索与合作'!$AD$2:$AD$301,"&lt;"&amp;$C49,'达人线索与合作'!$F$2:$F$301,$B49)))</f>
        <v/>
      </c>
      <c r="G49" s="9">
        <f>IF($A49="","",IF($B49="",COUNTIFS('寄样履约'!$A$2:$A$301,"&lt;&gt;",'寄样履约'!$H$2:$H$301,"&gt;="&amp;$A49,'寄样履约'!$H$2:$H$301,"&lt;"&amp;$C49),COUNTIFS('寄样履约'!$A$2:$A$301,"&lt;&gt;",'寄样履约'!$H$2:$H$301,"&gt;="&amp;$A49,'寄样履约'!$H$2:$H$301,"&lt;"&amp;$C49,'寄样履约'!$D$2:$D$301,$B49)))</f>
        <v/>
      </c>
      <c r="H49" s="9">
        <f>IF($A49="","",IF($B49="",COUNTIFS('寄样履约'!$A$2:$A$301,"&lt;&gt;",'寄样履约'!$K$2:$K$301,"&gt;="&amp;$A49,'寄样履约'!$K$2:$K$301,"&lt;"&amp;$C49),COUNTIFS('寄样履约'!$A$2:$A$301,"&lt;&gt;",'寄样履约'!$K$2:$K$301,"&gt;="&amp;$A49,'寄样履约'!$K$2:$K$301,"&lt;"&amp;$C49,'寄样履约'!$D$2:$D$301,$B49)))</f>
        <v/>
      </c>
      <c r="I49" s="9">
        <f>IF($A49="","",IF($B49="",SUMIFS('视频与订单复盘'!$AG$2:$AG$301,'视频与订单复盘'!$I$2:$I$301,"&gt;="&amp;$A49,'视频与订单复盘'!$I$2:$I$301,"&lt;"&amp;$C49),SUMIFS('视频与订单复盘'!$AG$2:$AG$301,'视频与订单复盘'!$I$2:$I$301,"&gt;="&amp;$A49,'视频与订单复盘'!$I$2:$I$301,"&lt;"&amp;$C49,'视频与订单复盘'!$H$2:$H$301,$B49)))</f>
        <v/>
      </c>
      <c r="J49" s="10">
        <f>IF($A49="","",IF($B49="",SUMIFS('视频与订单复盘'!$P$2:$P$301,'视频与订单复盘'!$I$2:$I$301,"&gt;="&amp;$A49,'视频与订单复盘'!$I$2:$I$301,"&lt;"&amp;$C49,'视频与订单复盘'!$AF$2:$AF$301,"可汇总"),SUMIFS('视频与订单复盘'!$P$2:$P$301,'视频与订单复盘'!$I$2:$I$301,"&gt;="&amp;$A49,'视频与订单复盘'!$I$2:$I$301,"&lt;"&amp;$C49,'视频与订单复盘'!$AF$2:$AF$301,"可汇总",'视频与订单复盘'!$H$2:$H$301,$B49)))</f>
        <v/>
      </c>
      <c r="K49" s="10">
        <f>IF($A49="","",IF($B49="",SUMIFS('视频与订单复盘'!$Y$2:$Y$301,'视频与订单复盘'!$I$2:$I$301,"&gt;="&amp;$A49,'视频与订单复盘'!$I$2:$I$301,"&lt;"&amp;$C49,'视频与订单复盘'!$AF$2:$AF$301,"可汇总"),SUMIFS('视频与订单复盘'!$Y$2:$Y$301,'视频与订单复盘'!$I$2:$I$301,"&gt;="&amp;$A49,'视频与订单复盘'!$I$2:$I$301,"&lt;"&amp;$C49,'视频与订单复盘'!$AF$2:$AF$301,"可汇总",'视频与订单复盘'!$H$2:$H$301,$B49)))</f>
        <v/>
      </c>
      <c r="L49" s="10">
        <f>IF($A49="","",IF($B49="",SUMIFS('寄样履约'!$R$2:$R$301,'寄样履约'!$A$2:$A$301,"&lt;&gt;",'寄样履约'!$H$2:$H$301,"&gt;="&amp;$A49,'寄样履约'!$H$2:$H$301,"&lt;"&amp;$C49),SUMIFS('寄样履约'!$R$2:$R$301,'寄样履约'!$A$2:$A$301,"&lt;&gt;",'寄样履约'!$H$2:$H$301,"&gt;="&amp;$A49,'寄样履约'!$H$2:$H$301,"&lt;"&amp;$C49,'寄样履约'!$D$2:$D$301,$B49)))</f>
        <v/>
      </c>
    </row>
    <row r="50" spans="3:12" ht="34" customHeight="1">
      <c r="C50" s="11">
        <f>IF(A50="","",A50+7)</f>
        <v/>
      </c>
      <c r="D50" s="9">
        <f>IF($A50="","",IF($B50="",COUNTIFS('达人线索与合作'!$A$2:$A$301,"&lt;&gt;",'达人线索与合作'!$U$2:$U$301,"&gt;="&amp;$A50,'达人线索与合作'!$U$2:$U$301,"&lt;"&amp;$C50),COUNTIFS('达人线索与合作'!$A$2:$A$301,"&lt;&gt;",'达人线索与合作'!$U$2:$U$301,"&gt;="&amp;$A50,'达人线索与合作'!$U$2:$U$301,"&lt;"&amp;$C50,'达人线索与合作'!$F$2:$F$301,$B50)))</f>
        <v/>
      </c>
      <c r="E50" s="9">
        <f>IF($A50="","",IF($B50="",COUNTIFS('达人线索与合作'!$A$2:$A$301,"&lt;&gt;",'达人线索与合作'!$AC$2:$AC$301,"&gt;="&amp;$A50,'达人线索与合作'!$AC$2:$AC$301,"&lt;"&amp;$C50),COUNTIFS('达人线索与合作'!$A$2:$A$301,"&lt;&gt;",'达人线索与合作'!$AC$2:$AC$301,"&gt;="&amp;$A50,'达人线索与合作'!$AC$2:$AC$301,"&lt;"&amp;$C50,'达人线索与合作'!$F$2:$F$301,$B50)))</f>
        <v/>
      </c>
      <c r="F50" s="9">
        <f>IF($A50="","",IF($B50="",COUNTIFS('达人线索与合作'!$B$2:$B$301,"&lt;&gt;",'达人线索与合作'!$AD$2:$AD$301,"&gt;="&amp;$A50,'达人线索与合作'!$AD$2:$AD$301,"&lt;"&amp;$C50),COUNTIFS('达人线索与合作'!$B$2:$B$301,"&lt;&gt;",'达人线索与合作'!$AD$2:$AD$301,"&gt;="&amp;$A50,'达人线索与合作'!$AD$2:$AD$301,"&lt;"&amp;$C50,'达人线索与合作'!$F$2:$F$301,$B50)))</f>
        <v/>
      </c>
      <c r="G50" s="9">
        <f>IF($A50="","",IF($B50="",COUNTIFS('寄样履约'!$A$2:$A$301,"&lt;&gt;",'寄样履约'!$H$2:$H$301,"&gt;="&amp;$A50,'寄样履约'!$H$2:$H$301,"&lt;"&amp;$C50),COUNTIFS('寄样履约'!$A$2:$A$301,"&lt;&gt;",'寄样履约'!$H$2:$H$301,"&gt;="&amp;$A50,'寄样履约'!$H$2:$H$301,"&lt;"&amp;$C50,'寄样履约'!$D$2:$D$301,$B50)))</f>
        <v/>
      </c>
      <c r="H50" s="9">
        <f>IF($A50="","",IF($B50="",COUNTIFS('寄样履约'!$A$2:$A$301,"&lt;&gt;",'寄样履约'!$K$2:$K$301,"&gt;="&amp;$A50,'寄样履约'!$K$2:$K$301,"&lt;"&amp;$C50),COUNTIFS('寄样履约'!$A$2:$A$301,"&lt;&gt;",'寄样履约'!$K$2:$K$301,"&gt;="&amp;$A50,'寄样履约'!$K$2:$K$301,"&lt;"&amp;$C50,'寄样履约'!$D$2:$D$301,$B50)))</f>
        <v/>
      </c>
      <c r="I50" s="9">
        <f>IF($A50="","",IF($B50="",SUMIFS('视频与订单复盘'!$AG$2:$AG$301,'视频与订单复盘'!$I$2:$I$301,"&gt;="&amp;$A50,'视频与订单复盘'!$I$2:$I$301,"&lt;"&amp;$C50),SUMIFS('视频与订单复盘'!$AG$2:$AG$301,'视频与订单复盘'!$I$2:$I$301,"&gt;="&amp;$A50,'视频与订单复盘'!$I$2:$I$301,"&lt;"&amp;$C50,'视频与订单复盘'!$H$2:$H$301,$B50)))</f>
        <v/>
      </c>
      <c r="J50" s="10">
        <f>IF($A50="","",IF($B50="",SUMIFS('视频与订单复盘'!$P$2:$P$301,'视频与订单复盘'!$I$2:$I$301,"&gt;="&amp;$A50,'视频与订单复盘'!$I$2:$I$301,"&lt;"&amp;$C50,'视频与订单复盘'!$AF$2:$AF$301,"可汇总"),SUMIFS('视频与订单复盘'!$P$2:$P$301,'视频与订单复盘'!$I$2:$I$301,"&gt;="&amp;$A50,'视频与订单复盘'!$I$2:$I$301,"&lt;"&amp;$C50,'视频与订单复盘'!$AF$2:$AF$301,"可汇总",'视频与订单复盘'!$H$2:$H$301,$B50)))</f>
        <v/>
      </c>
      <c r="K50" s="10">
        <f>IF($A50="","",IF($B50="",SUMIFS('视频与订单复盘'!$Y$2:$Y$301,'视频与订单复盘'!$I$2:$I$301,"&gt;="&amp;$A50,'视频与订单复盘'!$I$2:$I$301,"&lt;"&amp;$C50,'视频与订单复盘'!$AF$2:$AF$301,"可汇总"),SUMIFS('视频与订单复盘'!$Y$2:$Y$301,'视频与订单复盘'!$I$2:$I$301,"&gt;="&amp;$A50,'视频与订单复盘'!$I$2:$I$301,"&lt;"&amp;$C50,'视频与订单复盘'!$AF$2:$AF$301,"可汇总",'视频与订单复盘'!$H$2:$H$301,$B50)))</f>
        <v/>
      </c>
      <c r="L50" s="10">
        <f>IF($A50="","",IF($B50="",SUMIFS('寄样履约'!$R$2:$R$301,'寄样履约'!$A$2:$A$301,"&lt;&gt;",'寄样履约'!$H$2:$H$301,"&gt;="&amp;$A50,'寄样履约'!$H$2:$H$301,"&lt;"&amp;$C50),SUMIFS('寄样履约'!$R$2:$R$301,'寄样履约'!$A$2:$A$301,"&lt;&gt;",'寄样履约'!$H$2:$H$301,"&gt;="&amp;$A50,'寄样履约'!$H$2:$H$301,"&lt;"&amp;$C50,'寄样履约'!$D$2:$D$301,$B50)))</f>
        <v/>
      </c>
    </row>
    <row r="51" spans="3:12" ht="34" customHeight="1">
      <c r="C51" s="11">
        <f>IF(A51="","",A51+7)</f>
        <v/>
      </c>
      <c r="D51" s="9">
        <f>IF($A51="","",IF($B51="",COUNTIFS('达人线索与合作'!$A$2:$A$301,"&lt;&gt;",'达人线索与合作'!$U$2:$U$301,"&gt;="&amp;$A51,'达人线索与合作'!$U$2:$U$301,"&lt;"&amp;$C51),COUNTIFS('达人线索与合作'!$A$2:$A$301,"&lt;&gt;",'达人线索与合作'!$U$2:$U$301,"&gt;="&amp;$A51,'达人线索与合作'!$U$2:$U$301,"&lt;"&amp;$C51,'达人线索与合作'!$F$2:$F$301,$B51)))</f>
        <v/>
      </c>
      <c r="E51" s="9">
        <f>IF($A51="","",IF($B51="",COUNTIFS('达人线索与合作'!$A$2:$A$301,"&lt;&gt;",'达人线索与合作'!$AC$2:$AC$301,"&gt;="&amp;$A51,'达人线索与合作'!$AC$2:$AC$301,"&lt;"&amp;$C51),COUNTIFS('达人线索与合作'!$A$2:$A$301,"&lt;&gt;",'达人线索与合作'!$AC$2:$AC$301,"&gt;="&amp;$A51,'达人线索与合作'!$AC$2:$AC$301,"&lt;"&amp;$C51,'达人线索与合作'!$F$2:$F$301,$B51)))</f>
        <v/>
      </c>
      <c r="F51" s="9">
        <f>IF($A51="","",IF($B51="",COUNTIFS('达人线索与合作'!$B$2:$B$301,"&lt;&gt;",'达人线索与合作'!$AD$2:$AD$301,"&gt;="&amp;$A51,'达人线索与合作'!$AD$2:$AD$301,"&lt;"&amp;$C51),COUNTIFS('达人线索与合作'!$B$2:$B$301,"&lt;&gt;",'达人线索与合作'!$AD$2:$AD$301,"&gt;="&amp;$A51,'达人线索与合作'!$AD$2:$AD$301,"&lt;"&amp;$C51,'达人线索与合作'!$F$2:$F$301,$B51)))</f>
        <v/>
      </c>
      <c r="G51" s="9">
        <f>IF($A51="","",IF($B51="",COUNTIFS('寄样履约'!$A$2:$A$301,"&lt;&gt;",'寄样履约'!$H$2:$H$301,"&gt;="&amp;$A51,'寄样履约'!$H$2:$H$301,"&lt;"&amp;$C51),COUNTIFS('寄样履约'!$A$2:$A$301,"&lt;&gt;",'寄样履约'!$H$2:$H$301,"&gt;="&amp;$A51,'寄样履约'!$H$2:$H$301,"&lt;"&amp;$C51,'寄样履约'!$D$2:$D$301,$B51)))</f>
        <v/>
      </c>
      <c r="H51" s="9">
        <f>IF($A51="","",IF($B51="",COUNTIFS('寄样履约'!$A$2:$A$301,"&lt;&gt;",'寄样履约'!$K$2:$K$301,"&gt;="&amp;$A51,'寄样履约'!$K$2:$K$301,"&lt;"&amp;$C51),COUNTIFS('寄样履约'!$A$2:$A$301,"&lt;&gt;",'寄样履约'!$K$2:$K$301,"&gt;="&amp;$A51,'寄样履约'!$K$2:$K$301,"&lt;"&amp;$C51,'寄样履约'!$D$2:$D$301,$B51)))</f>
        <v/>
      </c>
      <c r="I51" s="9">
        <f>IF($A51="","",IF($B51="",SUMIFS('视频与订单复盘'!$AG$2:$AG$301,'视频与订单复盘'!$I$2:$I$301,"&gt;="&amp;$A51,'视频与订单复盘'!$I$2:$I$301,"&lt;"&amp;$C51),SUMIFS('视频与订单复盘'!$AG$2:$AG$301,'视频与订单复盘'!$I$2:$I$301,"&gt;="&amp;$A51,'视频与订单复盘'!$I$2:$I$301,"&lt;"&amp;$C51,'视频与订单复盘'!$H$2:$H$301,$B51)))</f>
        <v/>
      </c>
      <c r="J51" s="10">
        <f>IF($A51="","",IF($B51="",SUMIFS('视频与订单复盘'!$P$2:$P$301,'视频与订单复盘'!$I$2:$I$301,"&gt;="&amp;$A51,'视频与订单复盘'!$I$2:$I$301,"&lt;"&amp;$C51,'视频与订单复盘'!$AF$2:$AF$301,"可汇总"),SUMIFS('视频与订单复盘'!$P$2:$P$301,'视频与订单复盘'!$I$2:$I$301,"&gt;="&amp;$A51,'视频与订单复盘'!$I$2:$I$301,"&lt;"&amp;$C51,'视频与订单复盘'!$AF$2:$AF$301,"可汇总",'视频与订单复盘'!$H$2:$H$301,$B51)))</f>
        <v/>
      </c>
      <c r="K51" s="10">
        <f>IF($A51="","",IF($B51="",SUMIFS('视频与订单复盘'!$Y$2:$Y$301,'视频与订单复盘'!$I$2:$I$301,"&gt;="&amp;$A51,'视频与订单复盘'!$I$2:$I$301,"&lt;"&amp;$C51,'视频与订单复盘'!$AF$2:$AF$301,"可汇总"),SUMIFS('视频与订单复盘'!$Y$2:$Y$301,'视频与订单复盘'!$I$2:$I$301,"&gt;="&amp;$A51,'视频与订单复盘'!$I$2:$I$301,"&lt;"&amp;$C51,'视频与订单复盘'!$AF$2:$AF$301,"可汇总",'视频与订单复盘'!$H$2:$H$301,$B51)))</f>
        <v/>
      </c>
      <c r="L51" s="10">
        <f>IF($A51="","",IF($B51="",SUMIFS('寄样履约'!$R$2:$R$301,'寄样履约'!$A$2:$A$301,"&lt;&gt;",'寄样履约'!$H$2:$H$301,"&gt;="&amp;$A51,'寄样履约'!$H$2:$H$301,"&lt;"&amp;$C51),SUMIFS('寄样履约'!$R$2:$R$301,'寄样履约'!$A$2:$A$301,"&lt;&gt;",'寄样履约'!$H$2:$H$301,"&gt;="&amp;$A51,'寄样履约'!$H$2:$H$301,"&lt;"&amp;$C51,'寄样履约'!$D$2:$D$301,$B51)))</f>
        <v/>
      </c>
    </row>
    <row r="52" spans="3:12" ht="34" customHeight="1">
      <c r="C52" s="11">
        <f>IF(A52="","",A52+7)</f>
        <v/>
      </c>
      <c r="D52" s="9">
        <f>IF($A52="","",IF($B52="",COUNTIFS('达人线索与合作'!$A$2:$A$301,"&lt;&gt;",'达人线索与合作'!$U$2:$U$301,"&gt;="&amp;$A52,'达人线索与合作'!$U$2:$U$301,"&lt;"&amp;$C52),COUNTIFS('达人线索与合作'!$A$2:$A$301,"&lt;&gt;",'达人线索与合作'!$U$2:$U$301,"&gt;="&amp;$A52,'达人线索与合作'!$U$2:$U$301,"&lt;"&amp;$C52,'达人线索与合作'!$F$2:$F$301,$B52)))</f>
        <v/>
      </c>
      <c r="E52" s="9">
        <f>IF($A52="","",IF($B52="",COUNTIFS('达人线索与合作'!$A$2:$A$301,"&lt;&gt;",'达人线索与合作'!$AC$2:$AC$301,"&gt;="&amp;$A52,'达人线索与合作'!$AC$2:$AC$301,"&lt;"&amp;$C52),COUNTIFS('达人线索与合作'!$A$2:$A$301,"&lt;&gt;",'达人线索与合作'!$AC$2:$AC$301,"&gt;="&amp;$A52,'达人线索与合作'!$AC$2:$AC$301,"&lt;"&amp;$C52,'达人线索与合作'!$F$2:$F$301,$B52)))</f>
        <v/>
      </c>
      <c r="F52" s="9">
        <f>IF($A52="","",IF($B52="",COUNTIFS('达人线索与合作'!$B$2:$B$301,"&lt;&gt;",'达人线索与合作'!$AD$2:$AD$301,"&gt;="&amp;$A52,'达人线索与合作'!$AD$2:$AD$301,"&lt;"&amp;$C52),COUNTIFS('达人线索与合作'!$B$2:$B$301,"&lt;&gt;",'达人线索与合作'!$AD$2:$AD$301,"&gt;="&amp;$A52,'达人线索与合作'!$AD$2:$AD$301,"&lt;"&amp;$C52,'达人线索与合作'!$F$2:$F$301,$B52)))</f>
        <v/>
      </c>
      <c r="G52" s="9">
        <f>IF($A52="","",IF($B52="",COUNTIFS('寄样履约'!$A$2:$A$301,"&lt;&gt;",'寄样履约'!$H$2:$H$301,"&gt;="&amp;$A52,'寄样履约'!$H$2:$H$301,"&lt;"&amp;$C52),COUNTIFS('寄样履约'!$A$2:$A$301,"&lt;&gt;",'寄样履约'!$H$2:$H$301,"&gt;="&amp;$A52,'寄样履约'!$H$2:$H$301,"&lt;"&amp;$C52,'寄样履约'!$D$2:$D$301,$B52)))</f>
        <v/>
      </c>
      <c r="H52" s="9">
        <f>IF($A52="","",IF($B52="",COUNTIFS('寄样履约'!$A$2:$A$301,"&lt;&gt;",'寄样履约'!$K$2:$K$301,"&gt;="&amp;$A52,'寄样履约'!$K$2:$K$301,"&lt;"&amp;$C52),COUNTIFS('寄样履约'!$A$2:$A$301,"&lt;&gt;",'寄样履约'!$K$2:$K$301,"&gt;="&amp;$A52,'寄样履约'!$K$2:$K$301,"&lt;"&amp;$C52,'寄样履约'!$D$2:$D$301,$B52)))</f>
        <v/>
      </c>
      <c r="I52" s="9">
        <f>IF($A52="","",IF($B52="",SUMIFS('视频与订单复盘'!$AG$2:$AG$301,'视频与订单复盘'!$I$2:$I$301,"&gt;="&amp;$A52,'视频与订单复盘'!$I$2:$I$301,"&lt;"&amp;$C52),SUMIFS('视频与订单复盘'!$AG$2:$AG$301,'视频与订单复盘'!$I$2:$I$301,"&gt;="&amp;$A52,'视频与订单复盘'!$I$2:$I$301,"&lt;"&amp;$C52,'视频与订单复盘'!$H$2:$H$301,$B52)))</f>
        <v/>
      </c>
      <c r="J52" s="10">
        <f>IF($A52="","",IF($B52="",SUMIFS('视频与订单复盘'!$P$2:$P$301,'视频与订单复盘'!$I$2:$I$301,"&gt;="&amp;$A52,'视频与订单复盘'!$I$2:$I$301,"&lt;"&amp;$C52,'视频与订单复盘'!$AF$2:$AF$301,"可汇总"),SUMIFS('视频与订单复盘'!$P$2:$P$301,'视频与订单复盘'!$I$2:$I$301,"&gt;="&amp;$A52,'视频与订单复盘'!$I$2:$I$301,"&lt;"&amp;$C52,'视频与订单复盘'!$AF$2:$AF$301,"可汇总",'视频与订单复盘'!$H$2:$H$301,$B52)))</f>
        <v/>
      </c>
      <c r="K52" s="10">
        <f>IF($A52="","",IF($B52="",SUMIFS('视频与订单复盘'!$Y$2:$Y$301,'视频与订单复盘'!$I$2:$I$301,"&gt;="&amp;$A52,'视频与订单复盘'!$I$2:$I$301,"&lt;"&amp;$C52,'视频与订单复盘'!$AF$2:$AF$301,"可汇总"),SUMIFS('视频与订单复盘'!$Y$2:$Y$301,'视频与订单复盘'!$I$2:$I$301,"&gt;="&amp;$A52,'视频与订单复盘'!$I$2:$I$301,"&lt;"&amp;$C52,'视频与订单复盘'!$AF$2:$AF$301,"可汇总",'视频与订单复盘'!$H$2:$H$301,$B52)))</f>
        <v/>
      </c>
      <c r="L52" s="10">
        <f>IF($A52="","",IF($B52="",SUMIFS('寄样履约'!$R$2:$R$301,'寄样履约'!$A$2:$A$301,"&lt;&gt;",'寄样履约'!$H$2:$H$301,"&gt;="&amp;$A52,'寄样履约'!$H$2:$H$301,"&lt;"&amp;$C52),SUMIFS('寄样履约'!$R$2:$R$301,'寄样履约'!$A$2:$A$301,"&lt;&gt;",'寄样履约'!$H$2:$H$301,"&gt;="&amp;$A52,'寄样履约'!$H$2:$H$301,"&lt;"&amp;$C52,'寄样履约'!$D$2:$D$301,$B52)))</f>
        <v/>
      </c>
    </row>
    <row r="53" spans="3:12" ht="34" customHeight="1">
      <c r="C53" s="11">
        <f>IF(A53="","",A53+7)</f>
        <v/>
      </c>
      <c r="D53" s="9">
        <f>IF($A53="","",IF($B53="",COUNTIFS('达人线索与合作'!$A$2:$A$301,"&lt;&gt;",'达人线索与合作'!$U$2:$U$301,"&gt;="&amp;$A53,'达人线索与合作'!$U$2:$U$301,"&lt;"&amp;$C53),COUNTIFS('达人线索与合作'!$A$2:$A$301,"&lt;&gt;",'达人线索与合作'!$U$2:$U$301,"&gt;="&amp;$A53,'达人线索与合作'!$U$2:$U$301,"&lt;"&amp;$C53,'达人线索与合作'!$F$2:$F$301,$B53)))</f>
        <v/>
      </c>
      <c r="E53" s="9">
        <f>IF($A53="","",IF($B53="",COUNTIFS('达人线索与合作'!$A$2:$A$301,"&lt;&gt;",'达人线索与合作'!$AC$2:$AC$301,"&gt;="&amp;$A53,'达人线索与合作'!$AC$2:$AC$301,"&lt;"&amp;$C53),COUNTIFS('达人线索与合作'!$A$2:$A$301,"&lt;&gt;",'达人线索与合作'!$AC$2:$AC$301,"&gt;="&amp;$A53,'达人线索与合作'!$AC$2:$AC$301,"&lt;"&amp;$C53,'达人线索与合作'!$F$2:$F$301,$B53)))</f>
        <v/>
      </c>
      <c r="F53" s="9">
        <f>IF($A53="","",IF($B53="",COUNTIFS('达人线索与合作'!$B$2:$B$301,"&lt;&gt;",'达人线索与合作'!$AD$2:$AD$301,"&gt;="&amp;$A53,'达人线索与合作'!$AD$2:$AD$301,"&lt;"&amp;$C53),COUNTIFS('达人线索与合作'!$B$2:$B$301,"&lt;&gt;",'达人线索与合作'!$AD$2:$AD$301,"&gt;="&amp;$A53,'达人线索与合作'!$AD$2:$AD$301,"&lt;"&amp;$C53,'达人线索与合作'!$F$2:$F$301,$B53)))</f>
        <v/>
      </c>
      <c r="G53" s="9">
        <f>IF($A53="","",IF($B53="",COUNTIFS('寄样履约'!$A$2:$A$301,"&lt;&gt;",'寄样履约'!$H$2:$H$301,"&gt;="&amp;$A53,'寄样履约'!$H$2:$H$301,"&lt;"&amp;$C53),COUNTIFS('寄样履约'!$A$2:$A$301,"&lt;&gt;",'寄样履约'!$H$2:$H$301,"&gt;="&amp;$A53,'寄样履约'!$H$2:$H$301,"&lt;"&amp;$C53,'寄样履约'!$D$2:$D$301,$B53)))</f>
        <v/>
      </c>
      <c r="H53" s="9">
        <f>IF($A53="","",IF($B53="",COUNTIFS('寄样履约'!$A$2:$A$301,"&lt;&gt;",'寄样履约'!$K$2:$K$301,"&gt;="&amp;$A53,'寄样履约'!$K$2:$K$301,"&lt;"&amp;$C53),COUNTIFS('寄样履约'!$A$2:$A$301,"&lt;&gt;",'寄样履约'!$K$2:$K$301,"&gt;="&amp;$A53,'寄样履约'!$K$2:$K$301,"&lt;"&amp;$C53,'寄样履约'!$D$2:$D$301,$B53)))</f>
        <v/>
      </c>
      <c r="I53" s="9">
        <f>IF($A53="","",IF($B53="",SUMIFS('视频与订单复盘'!$AG$2:$AG$301,'视频与订单复盘'!$I$2:$I$301,"&gt;="&amp;$A53,'视频与订单复盘'!$I$2:$I$301,"&lt;"&amp;$C53),SUMIFS('视频与订单复盘'!$AG$2:$AG$301,'视频与订单复盘'!$I$2:$I$301,"&gt;="&amp;$A53,'视频与订单复盘'!$I$2:$I$301,"&lt;"&amp;$C53,'视频与订单复盘'!$H$2:$H$301,$B53)))</f>
        <v/>
      </c>
      <c r="J53" s="10">
        <f>IF($A53="","",IF($B53="",SUMIFS('视频与订单复盘'!$P$2:$P$301,'视频与订单复盘'!$I$2:$I$301,"&gt;="&amp;$A53,'视频与订单复盘'!$I$2:$I$301,"&lt;"&amp;$C53,'视频与订单复盘'!$AF$2:$AF$301,"可汇总"),SUMIFS('视频与订单复盘'!$P$2:$P$301,'视频与订单复盘'!$I$2:$I$301,"&gt;="&amp;$A53,'视频与订单复盘'!$I$2:$I$301,"&lt;"&amp;$C53,'视频与订单复盘'!$AF$2:$AF$301,"可汇总",'视频与订单复盘'!$H$2:$H$301,$B53)))</f>
        <v/>
      </c>
      <c r="K53" s="10">
        <f>IF($A53="","",IF($B53="",SUMIFS('视频与订单复盘'!$Y$2:$Y$301,'视频与订单复盘'!$I$2:$I$301,"&gt;="&amp;$A53,'视频与订单复盘'!$I$2:$I$301,"&lt;"&amp;$C53,'视频与订单复盘'!$AF$2:$AF$301,"可汇总"),SUMIFS('视频与订单复盘'!$Y$2:$Y$301,'视频与订单复盘'!$I$2:$I$301,"&gt;="&amp;$A53,'视频与订单复盘'!$I$2:$I$301,"&lt;"&amp;$C53,'视频与订单复盘'!$AF$2:$AF$301,"可汇总",'视频与订单复盘'!$H$2:$H$301,$B53)))</f>
        <v/>
      </c>
      <c r="L53" s="10">
        <f>IF($A53="","",IF($B53="",SUMIFS('寄样履约'!$R$2:$R$301,'寄样履约'!$A$2:$A$301,"&lt;&gt;",'寄样履约'!$H$2:$H$301,"&gt;="&amp;$A53,'寄样履约'!$H$2:$H$301,"&lt;"&amp;$C53),SUMIFS('寄样履约'!$R$2:$R$301,'寄样履约'!$A$2:$A$301,"&lt;&gt;",'寄样履约'!$H$2:$H$301,"&gt;="&amp;$A53,'寄样履约'!$H$2:$H$301,"&lt;"&amp;$C53,'寄样履约'!$D$2:$D$301,$B53)))</f>
        <v/>
      </c>
    </row>
  </sheetData>
  <autoFilter ref="A1:P301"/>
  <dataValidations count="3">
    <dataValidation type="date" allowBlank="1" showInputMessage="1" showErrorMessage="1" errorTitle="日期不正确" error="请填写 2000–2100 年间有效日期。" promptTitle="真实业务日期" prompt="按 yyyy-mm-dd 填写；不知道先留空。" sqref="A2:A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O2:O301">
      <formula1>36526</formula1>
      <formula2>73415</formula2>
    </dataValidation>
    <dataValidation type="date" allowBlank="1" showInputMessage="1" showErrorMessage="1" errorTitle="日期不正确" error="请填写 2000–2100 年间有效日期。" promptTitle="真实业务日期" prompt="按 yyyy-mm-dd 填写；不知道先留空。" sqref="P2:P301">
      <formula1>36526</formula1>
      <formula2>73415</formula2>
    </dataValidation>
  </dataValidations>
  <pageMargins left="0.7" right="0.7" top="0.75" bottom="0.75" header="0.3" footer="0.3"/>
  <pageSetup fitToHeight="0" orientation="landscape"/>
  <headerFooter>
    <oddFooter>&amp;L达人带货商务 · 空白模板&amp;R第 &amp;P / &amp;N 页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39F54"/>
  </sheetPr>
  <dimension ref="A1:C19"/>
  <sheetViews>
    <sheetView showGridLines="0" workbookViewId="0"/>
  </sheetViews>
  <sheetFormatPr defaultRowHeight="15"/>
  <cols>
    <col min="1" max="1" width="28.7109375" customWidth="1"/>
    <col min="2" max="2" width="24.7109375" customWidth="1"/>
    <col min="3" max="3" width="70.7109375" customWidth="1"/>
  </cols>
  <sheetData>
    <row r="1" spans="1:3">
      <c r="A1" s="12" t="s">
        <v>233</v>
      </c>
      <c r="B1" s="12"/>
      <c r="C1" s="12"/>
    </row>
    <row r="2" spans="1:3">
      <c r="A2" s="12"/>
      <c r="B2" s="12"/>
      <c r="C2" s="12"/>
    </row>
    <row r="4" spans="1:3" ht="39" customHeight="1">
      <c r="A4" s="3" t="s">
        <v>234</v>
      </c>
      <c r="B4" s="3" t="s">
        <v>235</v>
      </c>
      <c r="C4" s="3" t="s">
        <v>236</v>
      </c>
    </row>
    <row r="5" spans="1:3" ht="39" customHeight="1">
      <c r="A5" s="4" t="s">
        <v>197</v>
      </c>
      <c r="B5" s="4">
        <v>20</v>
      </c>
      <c r="C5" s="4" t="s">
        <v>237</v>
      </c>
    </row>
    <row r="6" spans="1:3" ht="39" customHeight="1">
      <c r="A6" s="4" t="s">
        <v>198</v>
      </c>
      <c r="B6" s="4">
        <v>18</v>
      </c>
      <c r="C6" s="4" t="s">
        <v>238</v>
      </c>
    </row>
    <row r="7" spans="1:3" ht="39" customHeight="1">
      <c r="A7" s="4" t="s">
        <v>239</v>
      </c>
      <c r="B7" s="4" t="s">
        <v>240</v>
      </c>
      <c r="C7" s="4" t="s">
        <v>241</v>
      </c>
    </row>
    <row r="8" spans="1:3" ht="39" customHeight="1">
      <c r="A8" s="4" t="s">
        <v>242</v>
      </c>
      <c r="B8" s="4" t="s">
        <v>243</v>
      </c>
      <c r="C8" s="4" t="s">
        <v>244</v>
      </c>
    </row>
    <row r="9" spans="1:3" ht="39" customHeight="1">
      <c r="A9" s="4" t="s">
        <v>245</v>
      </c>
      <c r="B9" s="4">
        <v>20</v>
      </c>
      <c r="C9" s="4" t="s">
        <v>246</v>
      </c>
    </row>
    <row r="10" spans="1:3" ht="39" customHeight="1">
      <c r="A10" s="4" t="s">
        <v>247</v>
      </c>
      <c r="B10" s="4" t="s">
        <v>248</v>
      </c>
      <c r="C10" s="4" t="s">
        <v>249</v>
      </c>
    </row>
    <row r="11" spans="1:3" ht="39" customHeight="1">
      <c r="A11" s="4" t="s">
        <v>250</v>
      </c>
      <c r="B11" s="4">
        <v>1.8</v>
      </c>
      <c r="C11" s="4" t="s">
        <v>251</v>
      </c>
    </row>
    <row r="12" spans="1:3" ht="39" customHeight="1">
      <c r="A12" s="4" t="s">
        <v>252</v>
      </c>
      <c r="B12" s="4">
        <v>0.2</v>
      </c>
      <c r="C12" s="4" t="s">
        <v>253</v>
      </c>
    </row>
    <row r="13" spans="1:3" ht="39" customHeight="1">
      <c r="A13" s="4" t="s">
        <v>254</v>
      </c>
      <c r="B13" s="4">
        <v>6.5</v>
      </c>
      <c r="C13" s="4" t="s">
        <v>255</v>
      </c>
    </row>
    <row r="14" spans="1:3" ht="39" customHeight="1">
      <c r="A14" s="4" t="s">
        <v>256</v>
      </c>
      <c r="B14" s="4">
        <v>19</v>
      </c>
      <c r="C14" s="4" t="s">
        <v>257</v>
      </c>
    </row>
    <row r="15" spans="1:3" ht="39" customHeight="1">
      <c r="A15" s="4" t="s">
        <v>258</v>
      </c>
      <c r="B15" s="4">
        <v>10</v>
      </c>
      <c r="C15" s="4" t="s">
        <v>259</v>
      </c>
    </row>
    <row r="16" spans="1:3" ht="39" customHeight="1">
      <c r="A16" s="4" t="s">
        <v>260</v>
      </c>
      <c r="B16" s="4" t="s">
        <v>261</v>
      </c>
      <c r="C16" s="4" t="s">
        <v>262</v>
      </c>
    </row>
    <row r="17" spans="1:3" ht="39" customHeight="1">
      <c r="A17" s="4" t="s">
        <v>263</v>
      </c>
      <c r="B17" s="4" t="s">
        <v>264</v>
      </c>
      <c r="C17" s="4" t="s">
        <v>265</v>
      </c>
    </row>
    <row r="18" spans="1:3" ht="39" customHeight="1">
      <c r="A18" s="4" t="s">
        <v>266</v>
      </c>
      <c r="B18" s="4" t="s">
        <v>267</v>
      </c>
      <c r="C18" s="4" t="s">
        <v>268</v>
      </c>
    </row>
    <row r="19" spans="1:3" ht="39" customHeight="1">
      <c r="A19" s="4" t="s">
        <v>269</v>
      </c>
      <c r="B19" s="4" t="s">
        <v>270</v>
      </c>
      <c r="C19" s="4" t="s">
        <v>271</v>
      </c>
    </row>
  </sheetData>
  <mergeCells count="1">
    <mergeCell ref="A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43E3D"/>
  </sheetPr>
  <dimension ref="B2:F30"/>
  <sheetViews>
    <sheetView showGridLine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5"/>
  <cols>
    <col min="1" max="1" width="6.7109375" customWidth="1"/>
    <col min="2" max="2" width="24.7109375" customWidth="1"/>
    <col min="3" max="6" width="22.7109375" customWidth="1"/>
  </cols>
  <sheetData>
    <row r="2" spans="2:6">
      <c r="B2" s="13" t="s">
        <v>272</v>
      </c>
      <c r="C2" s="13"/>
      <c r="D2" s="13"/>
      <c r="E2" s="13"/>
      <c r="F2" s="13"/>
    </row>
    <row r="3" spans="2:6">
      <c r="B3" s="13"/>
      <c r="C3" s="13"/>
      <c r="D3" s="13"/>
      <c r="E3" s="13"/>
      <c r="F3" s="13"/>
    </row>
    <row r="5" spans="2:6">
      <c r="B5" s="12" t="s">
        <v>273</v>
      </c>
      <c r="C5" s="12"/>
      <c r="D5" s="12"/>
      <c r="E5" s="12"/>
      <c r="F5" s="12"/>
    </row>
    <row r="6" spans="2:6">
      <c r="B6" s="12"/>
      <c r="C6" s="12"/>
      <c r="D6" s="12"/>
      <c r="E6" s="12"/>
      <c r="F6" s="12"/>
    </row>
    <row r="8" spans="2:6">
      <c r="B8" s="14" t="s">
        <v>274</v>
      </c>
      <c r="C8" s="14"/>
      <c r="D8" s="14"/>
      <c r="E8" s="14"/>
      <c r="F8" s="14"/>
    </row>
    <row r="10" spans="2:6" ht="65" customHeight="1">
      <c r="B10" s="4" t="s">
        <v>275</v>
      </c>
      <c r="C10" s="4" t="s">
        <v>276</v>
      </c>
      <c r="D10" s="4"/>
      <c r="E10" s="4"/>
      <c r="F10" s="4"/>
    </row>
    <row r="11" spans="2:6" ht="65" customHeight="1">
      <c r="B11" s="4" t="s">
        <v>277</v>
      </c>
      <c r="C11" s="4" t="s">
        <v>278</v>
      </c>
      <c r="D11" s="4"/>
      <c r="E11" s="4"/>
      <c r="F11" s="4"/>
    </row>
    <row r="12" spans="2:6" ht="65" customHeight="1">
      <c r="B12" s="4" t="s">
        <v>279</v>
      </c>
      <c r="C12" s="4" t="s">
        <v>280</v>
      </c>
      <c r="D12" s="4"/>
      <c r="E12" s="4"/>
      <c r="F12" s="4"/>
    </row>
    <row r="13" spans="2:6" ht="65" customHeight="1">
      <c r="B13" s="4" t="s">
        <v>281</v>
      </c>
      <c r="C13" s="4" t="s">
        <v>282</v>
      </c>
      <c r="D13" s="4"/>
      <c r="E13" s="4"/>
      <c r="F13" s="4"/>
    </row>
    <row r="14" spans="2:6" ht="65" customHeight="1">
      <c r="B14" s="4" t="s">
        <v>283</v>
      </c>
      <c r="C14" s="4" t="s">
        <v>284</v>
      </c>
      <c r="D14" s="4"/>
      <c r="E14" s="4"/>
      <c r="F14" s="4"/>
    </row>
    <row r="15" spans="2:6" ht="65" customHeight="1">
      <c r="B15" s="4" t="s">
        <v>285</v>
      </c>
      <c r="C15" s="4" t="s">
        <v>286</v>
      </c>
      <c r="D15" s="4"/>
      <c r="E15" s="4"/>
      <c r="F15" s="4"/>
    </row>
    <row r="16" spans="2:6" ht="65" customHeight="1">
      <c r="B16" s="4" t="s">
        <v>287</v>
      </c>
      <c r="C16" s="4" t="s">
        <v>288</v>
      </c>
      <c r="D16" s="4"/>
      <c r="E16" s="4"/>
      <c r="F16" s="4"/>
    </row>
    <row r="17" spans="2:6" ht="65" customHeight="1">
      <c r="B17" s="4" t="s">
        <v>289</v>
      </c>
      <c r="C17" s="4" t="s">
        <v>290</v>
      </c>
      <c r="D17" s="4"/>
      <c r="E17" s="4"/>
      <c r="F17" s="4"/>
    </row>
    <row r="18" spans="2:6" ht="65" customHeight="1">
      <c r="B18" s="4" t="s">
        <v>291</v>
      </c>
      <c r="C18" s="4" t="s">
        <v>292</v>
      </c>
      <c r="D18" s="4"/>
      <c r="E18" s="4"/>
      <c r="F18" s="4"/>
    </row>
    <row r="19" spans="2:6" ht="65" customHeight="1">
      <c r="B19" s="4" t="s">
        <v>293</v>
      </c>
      <c r="C19" s="4" t="s">
        <v>294</v>
      </c>
      <c r="D19" s="4"/>
      <c r="E19" s="4"/>
      <c r="F19" s="4"/>
    </row>
    <row r="22" spans="2:6">
      <c r="B22" s="14" t="s">
        <v>295</v>
      </c>
      <c r="C22" s="14"/>
      <c r="D22" s="14"/>
      <c r="E22" s="14"/>
      <c r="F22" s="14"/>
    </row>
    <row r="23" spans="2:6">
      <c r="B23" s="5" t="s">
        <v>296</v>
      </c>
      <c r="C23" s="5"/>
      <c r="D23" s="5"/>
      <c r="E23" s="5"/>
      <c r="F23" s="5"/>
    </row>
    <row r="24" spans="2:6">
      <c r="B24" s="5"/>
      <c r="C24" s="5"/>
      <c r="D24" s="5"/>
      <c r="E24" s="5"/>
      <c r="F24" s="5"/>
    </row>
    <row r="26" spans="2:6">
      <c r="B26" s="5" t="s">
        <v>297</v>
      </c>
      <c r="C26" s="5"/>
      <c r="D26" s="5"/>
      <c r="E26" s="5"/>
      <c r="F26" s="5"/>
    </row>
    <row r="27" spans="2:6">
      <c r="B27" s="5"/>
      <c r="C27" s="5"/>
      <c r="D27" s="5"/>
      <c r="E27" s="5"/>
      <c r="F27" s="5"/>
    </row>
    <row r="29" spans="2:6">
      <c r="B29" s="4" t="s">
        <v>298</v>
      </c>
      <c r="C29" s="4"/>
      <c r="D29" s="4"/>
      <c r="E29" s="4"/>
      <c r="F29" s="4"/>
    </row>
    <row r="30" spans="2:6">
      <c r="B30" s="4"/>
      <c r="C30" s="4"/>
      <c r="D30" s="4"/>
      <c r="E30" s="4"/>
      <c r="F30" s="4"/>
    </row>
  </sheetData>
  <mergeCells count="17">
    <mergeCell ref="B2:F3"/>
    <mergeCell ref="B5:F6"/>
    <mergeCell ref="B8:F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B22:F22"/>
    <mergeCell ref="B23:F24"/>
    <mergeCell ref="B26:F27"/>
    <mergeCell ref="B29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参数字典</vt:lpstr>
      <vt:lpstr>达人线索与合作</vt:lpstr>
      <vt:lpstr>寄样履约</vt:lpstr>
      <vt:lpstr>视频与订单复盘</vt:lpstr>
      <vt:lpstr>报价测算</vt:lpstr>
      <vt:lpstr>每周漏斗</vt:lpstr>
      <vt:lpstr>示例-请勿当真实数据</vt:lpstr>
      <vt:lpstr>使用说明</vt:lpstr>
      <vt:lpstr>ApprovalStatus</vt:lpstr>
      <vt:lpstr>CollabType</vt:lpstr>
      <vt:lpstr>EvidenceStatus</vt:lpstr>
      <vt:lpstr>LeadStatus</vt:lpstr>
      <vt:lpstr>参数字典!Print_Titles</vt:lpstr>
      <vt:lpstr>寄样履约!Print_Titles</vt:lpstr>
      <vt:lpstr>报价测算!Print_Titles</vt:lpstr>
      <vt:lpstr>每周漏斗!Print_Titles</vt:lpstr>
      <vt:lpstr>视频与订单复盘!Print_Titles</vt:lpstr>
      <vt:lpstr>达人线索与合作!Print_Titles</vt:lpstr>
      <vt:lpstr>ReviewStatus</vt:lpstr>
      <vt:lpstr>SampleStatus</vt:lpstr>
      <vt:lpstr>YesNo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达人短视频带货商务台账</dc:title>
  <dc:subject>食品类目 BD 试运行模板</dc:subject>
  <dc:creator>BD 工作台模板</dc:creator>
  <dc:description>空白模板；示例与真实经营数据分开。</dc:description>
  <cp:lastModifiedBy>BD 工作台模板</cp:lastModifiedBy>
  <dcterms:created xsi:type="dcterms:W3CDTF">2026-10-21T18:20:21Z</dcterms:created>
  <dcterms:modified xsi:type="dcterms:W3CDTF">2026-10-21T18:20:21Z</dcterms:modified>
</cp:coreProperties>
</file>